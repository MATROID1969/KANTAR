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PYTHON_GYAKORLAS\56_KANTAR\1_documents\"/>
    </mc:Choice>
  </mc:AlternateContent>
  <xr:revisionPtr revIDLastSave="0" documentId="13_ncr:1_{9EC1374D-23D5-43F0-9F31-C26455D31ADA}" xr6:coauthVersionLast="47" xr6:coauthVersionMax="47" xr10:uidLastSave="{00000000-0000-0000-0000-000000000000}"/>
  <bookViews>
    <workbookView xWindow="-120" yWindow="-120" windowWidth="29040" windowHeight="15840" xr2:uid="{5D7FF163-9AC4-49AC-BF1A-0DDD3578D4B1}"/>
  </bookViews>
  <sheets>
    <sheet name="email" sheetId="21" r:id="rId1"/>
    <sheet name="Tartalom" sheetId="13" r:id="rId2"/>
    <sheet name="Nyitóoldal" sheetId="18" r:id="rId3"/>
    <sheet name="Ország" sheetId="19" r:id="rId4"/>
    <sheet name="Alvállalkozó" sheetId="20" r:id="rId5"/>
    <sheet name="Kvalitatív" sheetId="6" r:id="rId6"/>
    <sheet name="Kvantitatív" sheetId="5" r:id="rId7"/>
    <sheet name="Másodelemzés" sheetId="14" r:id="rId8"/>
    <sheet name="Insightment_Szemiotika" sheetId="15" r:id="rId9"/>
    <sheet name="Tréning" sheetId="16" r:id="rId10"/>
    <sheet name="DESP_COCR_SUCL" sheetId="17" r:id="rId11"/>
    <sheet name="TGI" sheetId="10" r:id="rId12"/>
    <sheet name="Szoftver" sheetId="11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6" i="15" l="1"/>
  <c r="O73" i="5"/>
  <c r="O71" i="5"/>
  <c r="Q73" i="5"/>
  <c r="Q71" i="5"/>
  <c r="P71" i="5"/>
  <c r="P73" i="5"/>
  <c r="K73" i="5"/>
  <c r="K71" i="5"/>
  <c r="O69" i="5"/>
  <c r="P69" i="5"/>
  <c r="Q69" i="5"/>
  <c r="K69" i="5"/>
  <c r="P67" i="5"/>
  <c r="K67" i="5"/>
  <c r="O67" i="5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W88" i="19"/>
  <c r="W89" i="19"/>
  <c r="W90" i="19"/>
  <c r="W91" i="19"/>
  <c r="W92" i="19"/>
  <c r="W93" i="19"/>
  <c r="W94" i="19"/>
  <c r="W95" i="19"/>
  <c r="W96" i="19"/>
  <c r="W97" i="19"/>
  <c r="W98" i="19"/>
  <c r="W99" i="19"/>
  <c r="W100" i="19"/>
  <c r="W101" i="19"/>
  <c r="W102" i="19"/>
  <c r="W103" i="19"/>
  <c r="W104" i="19"/>
  <c r="W105" i="19"/>
  <c r="W106" i="19"/>
  <c r="W107" i="19"/>
  <c r="W108" i="19"/>
  <c r="W109" i="19"/>
  <c r="W110" i="19"/>
  <c r="W111" i="19"/>
  <c r="W112" i="19"/>
  <c r="W113" i="19"/>
  <c r="W114" i="19"/>
  <c r="W115" i="19"/>
  <c r="W116" i="19"/>
  <c r="W117" i="19"/>
  <c r="W118" i="19"/>
  <c r="W119" i="19"/>
  <c r="W120" i="19"/>
  <c r="W121" i="19"/>
  <c r="W122" i="19"/>
  <c r="W123" i="19"/>
  <c r="W124" i="19"/>
  <c r="W125" i="19"/>
  <c r="W126" i="19"/>
  <c r="W127" i="19"/>
  <c r="W128" i="19"/>
  <c r="W129" i="19"/>
  <c r="W130" i="19"/>
  <c r="W131" i="19"/>
  <c r="W132" i="19"/>
  <c r="W133" i="19"/>
  <c r="W134" i="19"/>
  <c r="W135" i="19"/>
  <c r="W136" i="19"/>
  <c r="W137" i="19"/>
  <c r="W138" i="19"/>
  <c r="W139" i="19"/>
  <c r="W140" i="19"/>
  <c r="W141" i="19"/>
  <c r="W142" i="19"/>
  <c r="W143" i="19"/>
  <c r="W144" i="19"/>
  <c r="W145" i="19"/>
  <c r="W146" i="19"/>
  <c r="W147" i="19"/>
  <c r="W148" i="19"/>
  <c r="W149" i="19"/>
  <c r="W150" i="19"/>
  <c r="W151" i="19"/>
  <c r="W152" i="19"/>
  <c r="W153" i="19"/>
  <c r="W154" i="19"/>
  <c r="W155" i="19"/>
  <c r="W156" i="19"/>
  <c r="W157" i="19"/>
  <c r="W158" i="19"/>
  <c r="W159" i="19"/>
  <c r="W160" i="19"/>
  <c r="W161" i="19"/>
  <c r="W162" i="19"/>
  <c r="W163" i="19"/>
  <c r="W164" i="19"/>
  <c r="W165" i="19"/>
  <c r="W166" i="19"/>
  <c r="W167" i="19"/>
  <c r="W168" i="19"/>
  <c r="W169" i="19"/>
  <c r="W170" i="19"/>
  <c r="W171" i="19"/>
  <c r="W172" i="19"/>
  <c r="W173" i="19"/>
  <c r="W174" i="19"/>
  <c r="W175" i="19"/>
  <c r="W176" i="19"/>
  <c r="W177" i="19"/>
  <c r="W178" i="19"/>
  <c r="W179" i="19"/>
  <c r="W180" i="19"/>
  <c r="W181" i="19"/>
  <c r="W182" i="19"/>
  <c r="W183" i="19"/>
  <c r="W184" i="19"/>
  <c r="W185" i="19"/>
  <c r="W186" i="19"/>
  <c r="W187" i="19"/>
  <c r="W188" i="19"/>
  <c r="W189" i="19"/>
  <c r="W190" i="19"/>
  <c r="W191" i="19"/>
  <c r="W192" i="19"/>
  <c r="W193" i="19"/>
  <c r="W2" i="19"/>
  <c r="A19" i="6"/>
  <c r="N53" i="6"/>
</calcChain>
</file>

<file path=xl/sharedStrings.xml><?xml version="1.0" encoding="utf-8"?>
<sst xmlns="http://schemas.openxmlformats.org/spreadsheetml/2006/main" count="1863" uniqueCount="1039">
  <si>
    <t>Szervezés</t>
  </si>
  <si>
    <t>Terepmunka</t>
  </si>
  <si>
    <t>Feldolgozás</t>
  </si>
  <si>
    <t>Top-line</t>
  </si>
  <si>
    <t>Egyszerű elemzés</t>
  </si>
  <si>
    <t>Management summary</t>
  </si>
  <si>
    <t>Fordítás</t>
  </si>
  <si>
    <t>Terembérlés</t>
  </si>
  <si>
    <t>Catering (ha meleg étel)</t>
  </si>
  <si>
    <t>Egyéb</t>
  </si>
  <si>
    <t>Workshop</t>
  </si>
  <si>
    <t>Paraméterek</t>
  </si>
  <si>
    <t>Szintek</t>
  </si>
  <si>
    <t>Szervezői munkaóra</t>
  </si>
  <si>
    <t>Junior kutatói munkaóra</t>
  </si>
  <si>
    <t>DP munkaóra</t>
  </si>
  <si>
    <t>DP vezetői munkaóra</t>
  </si>
  <si>
    <t>Szervezési vezetői munkaóra</t>
  </si>
  <si>
    <t>Exe kutatói munkaóra</t>
  </si>
  <si>
    <t>Szenior kutatói munkaóra</t>
  </si>
  <si>
    <t>Kutatási igazgatói munkaóra</t>
  </si>
  <si>
    <t>GAD munkaóra</t>
  </si>
  <si>
    <t>Szolgáltatás csoport</t>
  </si>
  <si>
    <t>Szolgáltatás elem</t>
  </si>
  <si>
    <t xml:space="preserve">napi időráfordítás </t>
  </si>
  <si>
    <t>1. 15 perc
2. 30 perc
3. 45 perc
4. 60 perc</t>
  </si>
  <si>
    <t>Tematikus összefoglaló
(elemzés nélkül, a kérdésekre adott válaszok tematikus összefoglalása, leirata)</t>
  </si>
  <si>
    <t>Plusz szolgáltatások</t>
  </si>
  <si>
    <t>Incidence Rate</t>
  </si>
  <si>
    <t>1. Budapest: %
2. Vidék: %</t>
  </si>
  <si>
    <t>Score card</t>
  </si>
  <si>
    <t>DP</t>
  </si>
  <si>
    <t>Programozás</t>
  </si>
  <si>
    <t>Hosting</t>
  </si>
  <si>
    <t>Kvótafelügyelet</t>
  </si>
  <si>
    <t>… db</t>
  </si>
  <si>
    <t>Emlékeztetők kiküldése</t>
  </si>
  <si>
    <t>DP mélysége</t>
  </si>
  <si>
    <t>Online prezentáció</t>
  </si>
  <si>
    <t>Személyes prezentáció Budapesten</t>
  </si>
  <si>
    <t>Személyes prezentáció vidéken</t>
  </si>
  <si>
    <t>Ügyfél adatbázisának kezelése</t>
  </si>
  <si>
    <t>Extra rövid határidővel</t>
  </si>
  <si>
    <t>Conjoint</t>
  </si>
  <si>
    <t>KANO-modell</t>
  </si>
  <si>
    <t>Adatbázis (és syntax)</t>
  </si>
  <si>
    <t>… óra</t>
  </si>
  <si>
    <t>0. Nincs 
1. Van</t>
  </si>
  <si>
    <t>0. Nem
1. Igen</t>
  </si>
  <si>
    <t>MCP / Koordinált projekt</t>
  </si>
  <si>
    <t>1. 5-10 perc
2. 11-15 perc
3. 16-20 perc
4. 21-25 perc
5. 26-30 perc
6. 31-35 perc
7. 36-40 perc
8. 41-45 perc
9. 46-50 perc
10. 51-55 perc
11. 56-60 perc</t>
  </si>
  <si>
    <t xml:space="preserve">1. egyszerű (például véletlen) 
2. átlagos (könnyű kvóta) 
3. nehéz 
4. extrém        </t>
  </si>
  <si>
    <t>1. 5% alatt  
2. 5-9% 
3. 10-19% 
4. 20-39%
5. 40-59%
6. 60+ %</t>
  </si>
  <si>
    <t>1. lakosság
2. vállalati
3. orvos
4. szakértő</t>
  </si>
  <si>
    <t>Szegmentáció</t>
  </si>
  <si>
    <t>Modellezés</t>
  </si>
  <si>
    <t>Kantar márkázott termékek</t>
  </si>
  <si>
    <t>1. nincs kontaktlista
2. Kantar Hoffmann készíti a kontaktlistát
3. ügyfél adja a kontaktlistát 
4. panel</t>
  </si>
  <si>
    <t>TRI*M</t>
  </si>
  <si>
    <t>Needscope</t>
  </si>
  <si>
    <t>Link</t>
  </si>
  <si>
    <t>Conversion Model</t>
  </si>
  <si>
    <t>AdEffect</t>
  </si>
  <si>
    <t>Hollistic Brand Guidance</t>
  </si>
  <si>
    <t>ContextLab</t>
  </si>
  <si>
    <t>CrossMedia</t>
  </si>
  <si>
    <t>Brand Lift Insights (BLI)</t>
  </si>
  <si>
    <t>AdNow</t>
  </si>
  <si>
    <t>Meaningfully Different Framework (MDF)</t>
  </si>
  <si>
    <t>Mélyelemzés, összetett elemzési munka (deepdive report)</t>
  </si>
  <si>
    <t>… nap</t>
  </si>
  <si>
    <t>… fő</t>
  </si>
  <si>
    <t>Tréning</t>
  </si>
  <si>
    <t>0. nincs
1. fordítóval
2. fordítóval, lektorálva
3. szoftverrel</t>
  </si>
  <si>
    <t>Szinkrontolmács</t>
  </si>
  <si>
    <t>Ajánlatkérő becsül óraszámot</t>
  </si>
  <si>
    <t>Filmkészítés</t>
  </si>
  <si>
    <t>Default =0</t>
  </si>
  <si>
    <t>Debrief 
szóbeli rövid összefoglaló a terepmunkát követően</t>
  </si>
  <si>
    <t>Analytics</t>
  </si>
  <si>
    <t>Programozási utasítások</t>
  </si>
  <si>
    <t>szervezés nehézsége</t>
  </si>
  <si>
    <t>1. egyszerű (nincs kvóta)
2. közepes (márkafogyasztó, de speciális kvóta nélkül)
3. nehéz (speciális kvóta)
4.extrém (szűk célcsoport + kvóta)</t>
  </si>
  <si>
    <t>1. nincs kontaktlista
2. Kantar Hoffmann készíti a kontaktlistát
3. ügyfél adja a kontaktlistát</t>
  </si>
  <si>
    <t>ügyfél általi szervezés / előmelegítés</t>
  </si>
  <si>
    <t>1. nincs ügyféltámogatás
2. ügyfél szervezi teljesen
3. ügyfél előmelegíti, de mi szervezzük</t>
  </si>
  <si>
    <t>platform</t>
  </si>
  <si>
    <t>1. on - line
2. off - line
3. telefon</t>
  </si>
  <si>
    <t>interjú hossza</t>
  </si>
  <si>
    <t>1. 30
2. 45
3. 60
4. 90
5. 120
6. 150
7. 180</t>
  </si>
  <si>
    <t>megkérdezettek köre</t>
  </si>
  <si>
    <t>1. lakosság
2. vállalati - SOHO
3. vállalati - SMB
4. vállalati - LB
5. orvos
6. szakértő</t>
  </si>
  <si>
    <t>1. Budapest
2. nagyváros
3. kisváros
4. falvak</t>
  </si>
  <si>
    <t>napok száma (1 - 10)</t>
  </si>
  <si>
    <t>résztvevők száma (10-40)</t>
  </si>
  <si>
    <t>blog felület</t>
  </si>
  <si>
    <t>1. mi biztosítjuk
2. megbízó biztosítja</t>
  </si>
  <si>
    <t>Másodelemzés</t>
  </si>
  <si>
    <t>Kiírás</t>
  </si>
  <si>
    <t>1. Igen
2. Nem</t>
  </si>
  <si>
    <t>1. normál
2. extra rövid</t>
  </si>
  <si>
    <t>Desk research</t>
  </si>
  <si>
    <t>Tartalom</t>
  </si>
  <si>
    <t>Kvalitatív</t>
  </si>
  <si>
    <t>Kvantitatív</t>
  </si>
  <si>
    <t>Kulturális insightment (benne a Szemiotika)</t>
  </si>
  <si>
    <t>Design Sprint /Co-creation / Super Clinic</t>
  </si>
  <si>
    <t>TGI</t>
  </si>
  <si>
    <t>Szoftver (pl. WDBA)</t>
  </si>
  <si>
    <t>1. Sztenderd
2. Bonyolult</t>
  </si>
  <si>
    <t>Munkaóra</t>
  </si>
  <si>
    <t>Költség</t>
  </si>
  <si>
    <t>1. CATI 
2. CAPI in-hall 
3. CAPI in-home 
4. CAPI helyszíni 
5. CAWI</t>
  </si>
  <si>
    <t>Alvállalkozói díj</t>
  </si>
  <si>
    <t>Egyéb költségelem</t>
  </si>
  <si>
    <t>Ajándék</t>
  </si>
  <si>
    <t>6. Napló</t>
  </si>
  <si>
    <t>Szolgáltatáscsoport kiválasztása</t>
  </si>
  <si>
    <t>Csak off-line kutatások, platform=2)</t>
  </si>
  <si>
    <t>0. nincs
1. gépeléssel - szószerint
2. kiírás (kivonatolt)
3. automatizálva</t>
  </si>
  <si>
    <t>kontaktlista</t>
  </si>
  <si>
    <t>száma</t>
  </si>
  <si>
    <t>… fő (látogatás)</t>
  </si>
  <si>
    <t>intervallum: 0…9</t>
  </si>
  <si>
    <t>Adatbeszerzés, adatvásárlás</t>
  </si>
  <si>
    <t xml:space="preserve">megkérdezés helye </t>
  </si>
  <si>
    <t>11. Napló</t>
  </si>
  <si>
    <t>12. Blog</t>
  </si>
  <si>
    <t>előfeladat</t>
  </si>
  <si>
    <t>kísérő</t>
  </si>
  <si>
    <r>
      <t xml:space="preserve">1. Mélyinterjú
2. Páros interjú
3. Triád
4. Mini csoport (4 fő)
5. Csoport (6 fős)
6. Csoport (8 fős)
7. XXL Csoport (10-12 fő)
8. Bi-pólus (2 csoport)
9. Konfliktus csoport 
</t>
    </r>
    <r>
      <rPr>
        <b/>
        <sz val="12"/>
        <color rgb="FFC00000"/>
        <rFont val="Arial"/>
        <family val="2"/>
        <charset val="238"/>
      </rPr>
      <t>10. Elkísért vásárlás (AST)</t>
    </r>
  </si>
  <si>
    <t>0. Nincs
1. Van</t>
  </si>
  <si>
    <t>… munkaóra</t>
  </si>
  <si>
    <t>7. Megfigyelés</t>
  </si>
  <si>
    <t>helyszínek száma</t>
  </si>
  <si>
    <t>megfigyelési munkaórák száma</t>
  </si>
  <si>
    <t>megfigyelés helyszíne</t>
  </si>
  <si>
    <t>13. Megfigyelés</t>
  </si>
  <si>
    <r>
      <t xml:space="preserve">1. nincs
2. könnyű
3. közepes
</t>
    </r>
    <r>
      <rPr>
        <b/>
        <sz val="10"/>
        <color rgb="FFC00000"/>
        <rFont val="Arial"/>
        <family val="2"/>
        <charset val="238"/>
      </rPr>
      <t>4. bonyolult (pl. márkanovella)</t>
    </r>
  </si>
  <si>
    <t>(pl. KSH, Eurostat)</t>
  </si>
  <si>
    <t>Elemzői munkaóra</t>
  </si>
  <si>
    <t>Egyéb adatbázis feldolgozása</t>
  </si>
  <si>
    <t>14. Workshop</t>
  </si>
  <si>
    <t>helyszíne</t>
  </si>
  <si>
    <t>egy workshop időtartama</t>
  </si>
  <si>
    <t>... db</t>
  </si>
  <si>
    <r>
      <t xml:space="preserve">1. on - line
2. off - line
</t>
    </r>
    <r>
      <rPr>
        <b/>
        <sz val="10"/>
        <rFont val="Arial"/>
        <family val="2"/>
        <charset val="238"/>
      </rPr>
      <t>3. telefon</t>
    </r>
  </si>
  <si>
    <r>
      <rPr>
        <b/>
        <sz val="10"/>
        <rFont val="Arial"/>
        <family val="2"/>
        <charset val="238"/>
      </rPr>
      <t>1. 30</t>
    </r>
    <r>
      <rPr>
        <sz val="10"/>
        <rFont val="Arial"/>
        <family val="2"/>
        <charset val="238"/>
      </rPr>
      <t xml:space="preserve">
2. 45
3. 60
4. 90
5. 120
6. 150
7. 180</t>
    </r>
  </si>
  <si>
    <r>
      <rPr>
        <b/>
        <sz val="10"/>
        <rFont val="Arial"/>
        <family val="2"/>
        <charset val="238"/>
      </rPr>
      <t>1. lakosság</t>
    </r>
    <r>
      <rPr>
        <sz val="10"/>
        <rFont val="Arial"/>
        <family val="2"/>
        <charset val="238"/>
      </rPr>
      <t xml:space="preserve">
2. vállalati - SOHO
3. vállalati - SMB
4. vállalati - LB
5. orvos
6. szakértő</t>
    </r>
  </si>
  <si>
    <r>
      <rPr>
        <b/>
        <sz val="10"/>
        <rFont val="Arial"/>
        <family val="2"/>
        <charset val="238"/>
      </rPr>
      <t>1. Budapest</t>
    </r>
    <r>
      <rPr>
        <sz val="10"/>
        <rFont val="Arial"/>
        <family val="2"/>
        <charset val="238"/>
      </rPr>
      <t xml:space="preserve">
2. nagyváros
3. kisváros
4. falvak</t>
    </r>
  </si>
  <si>
    <r>
      <rPr>
        <b/>
        <sz val="10"/>
        <rFont val="Arial"/>
        <family val="2"/>
        <charset val="238"/>
      </rPr>
      <t>1. nincs</t>
    </r>
    <r>
      <rPr>
        <sz val="10"/>
        <rFont val="Arial"/>
        <family val="2"/>
        <charset val="238"/>
      </rPr>
      <t xml:space="preserve">
2. könnyű
3. közepes
</t>
    </r>
    <r>
      <rPr>
        <b/>
        <sz val="10"/>
        <color rgb="FFC00000"/>
        <rFont val="Arial"/>
        <family val="2"/>
        <charset val="238"/>
      </rPr>
      <t>4. bonyolult (pl. márkanovella)</t>
    </r>
  </si>
  <si>
    <t>Mely alvállalkozókat szeretnénk látni az alvállalkozói listában?</t>
  </si>
  <si>
    <t>field vállalkozók</t>
  </si>
  <si>
    <t>külsős elemzők</t>
  </si>
  <si>
    <t xml:space="preserve"> =3+1,5×alanyszám×0,5+3,5×csoport+interjúszám×0,8</t>
  </si>
  <si>
    <t xml:space="preserve"> =2+(1+résztvevők/100)×2×napok száma</t>
  </si>
  <si>
    <t>11. Napló / blog</t>
  </si>
  <si>
    <t>12. Megfigyelés</t>
  </si>
  <si>
    <t>Debrief</t>
  </si>
  <si>
    <t>Feldolgozási alap</t>
  </si>
  <si>
    <t xml:space="preserve"> =2+résztvevők száma×1</t>
  </si>
  <si>
    <t>Prezentáció</t>
  </si>
  <si>
    <t>… workshop óra (workshop hossza)</t>
  </si>
  <si>
    <t>Nincs</t>
  </si>
  <si>
    <t>Legördülő menü</t>
  </si>
  <si>
    <t>Háttérinformáció</t>
  </si>
  <si>
    <t>Executive kutatói munkaóra</t>
  </si>
  <si>
    <r>
      <t>csak az "</t>
    </r>
    <r>
      <rPr>
        <b/>
        <sz val="10"/>
        <rFont val="Arial"/>
        <family val="2"/>
        <charset val="238"/>
      </rPr>
      <t>Alvállalkozói díj</t>
    </r>
    <r>
      <rPr>
        <sz val="10"/>
        <rFont val="Arial"/>
        <family val="2"/>
        <charset val="238"/>
      </rPr>
      <t>"-ra hat, belső munkaórát nem befolyásolja</t>
    </r>
  </si>
  <si>
    <t xml:space="preserve"> =D24×4</t>
  </si>
  <si>
    <t xml:space="preserve"> =D24*1</t>
  </si>
  <si>
    <t xml:space="preserve"> =D24×1</t>
  </si>
  <si>
    <t>Megjelenítés</t>
  </si>
  <si>
    <t>Programozási utasítás</t>
  </si>
  <si>
    <t>Interjúk esetén, HA 1, 2, 4</t>
  </si>
  <si>
    <t>Csoportok esetén, HA 4, 5, 6, 7, 8, 10</t>
  </si>
  <si>
    <t>Numerikus válasz</t>
  </si>
  <si>
    <t>Szolgáltatáscsoport</t>
  </si>
  <si>
    <t>Szolgáltatáselem</t>
  </si>
  <si>
    <t>Csak az off-line interjúkkal és csoportokkal van munkaóra</t>
  </si>
  <si>
    <t xml:space="preserve"> =csoportszám (D24)×0,5</t>
  </si>
  <si>
    <t xml:space="preserve"> =interjúszám (D24)×0,25</t>
  </si>
  <si>
    <t>Csak akkor van munkaóra, HA 2 (off-line)</t>
  </si>
  <si>
    <t>HA =1 (lakossági)</t>
  </si>
  <si>
    <t>Interjúk (1, 2, 3) esetén</t>
  </si>
  <si>
    <t>Csoportok (4, 5, 6, 7, 8, 9) esetén</t>
  </si>
  <si>
    <t>HA = 2, 3, 4 (vállalati)</t>
  </si>
  <si>
    <t>HA = 5, 6 (orvos és szakértő)</t>
  </si>
  <si>
    <t xml:space="preserve"> =4+D24×csoporthossz (D28)×1,5</t>
  </si>
  <si>
    <t xml:space="preserve"> =4+D24×interjúhossz (D28)×1,2</t>
  </si>
  <si>
    <t>Platform (D26)=1 vagy 3</t>
  </si>
  <si>
    <t>Ha online vagy tekefonos</t>
  </si>
  <si>
    <t>Budapesti offline interjúk</t>
  </si>
  <si>
    <t>Platform (D26)=2 ÉS megkérdezés helye Budapest</t>
  </si>
  <si>
    <t>Platform (D26)=2 ÉS megkérdezés helye 2-4 (nem Budapest)</t>
  </si>
  <si>
    <t>Nem budapesti offline interjúk</t>
  </si>
  <si>
    <t xml:space="preserve"> =csoportszám (D24)*3+interjúszám (D24)*3</t>
  </si>
  <si>
    <t xml:space="preserve"> =4+interjúszám (D24)×interjúhossz (D28)×1,2</t>
  </si>
  <si>
    <t xml:space="preserve"> =4+csoportszám (D24)×csoporthossz (D28)×1,5</t>
  </si>
  <si>
    <t>Nem kell megjelennie, automatikusan veszi fel a 0. Nem vagy 1. Igen értéket.</t>
  </si>
  <si>
    <t>önállóan nem megrendelhető, mellé legalább még egy elemet ki kell választani</t>
  </si>
  <si>
    <t>amennyiben ez &gt;0, akkor még egy elemet ki kell választani</t>
  </si>
  <si>
    <t>önállóan megrendelhető</t>
  </si>
  <si>
    <t>25 
(ha lakossági)</t>
  </si>
  <si>
    <t>25 
(minden más szegmens)</t>
  </si>
  <si>
    <t>2 
(ha lakossági)</t>
  </si>
  <si>
    <t>2 
(minden más szegmens)</t>
  </si>
  <si>
    <t>5 
(ha lakossági)</t>
  </si>
  <si>
    <t>5 
(minden más szegmens)</t>
  </si>
  <si>
    <t>8 
(minden más szegmens)</t>
  </si>
  <si>
    <t>8 
(ha lakossági)</t>
  </si>
  <si>
    <t>15 
(ha lakossági)</t>
  </si>
  <si>
    <t>15 
(minden más szegmens)</t>
  </si>
  <si>
    <t xml:space="preserve"> =2+workshop óra 
(ha lakossági)</t>
  </si>
  <si>
    <t xml:space="preserve"> =2+workshop óra 
(minden más szegmens)</t>
  </si>
  <si>
    <t xml:space="preserve"> =2+workshop óra 
(minden szegmens)</t>
  </si>
  <si>
    <t xml:space="preserve"> =résztvevők száma (D40)×0,8+3</t>
  </si>
  <si>
    <t xml:space="preserve"> =3+óraszám (D42)*1,2+1</t>
  </si>
  <si>
    <t xml:space="preserve"> =3+óraszám (D42)*1,2+4</t>
  </si>
  <si>
    <t>Budapest esetében +1 óra utazási időt adunk hozzá.</t>
  </si>
  <si>
    <t>Vidék esetében +4 óra utazási időt adunk hozzá</t>
  </si>
  <si>
    <t>Minden munkaórára szorzó: 1,2</t>
  </si>
  <si>
    <t>HA 2-4</t>
  </si>
  <si>
    <t>HA 1</t>
  </si>
  <si>
    <t>óraszámszorzó: 1,2</t>
  </si>
  <si>
    <t xml:space="preserve"> =csoportszám×2+interjúszám×0,5</t>
  </si>
  <si>
    <t>óraszámszorzó: 1,5</t>
  </si>
  <si>
    <t>Rekrutálás</t>
  </si>
  <si>
    <t>Ügyfélnév</t>
  </si>
  <si>
    <t>Domain</t>
  </si>
  <si>
    <t>Ügyfélkategória</t>
  </si>
  <si>
    <t>Kantar</t>
  </si>
  <si>
    <t>Üzletszerző</t>
  </si>
  <si>
    <t>Kontakt</t>
  </si>
  <si>
    <t>Elfogadás esélye</t>
  </si>
  <si>
    <t>Keretszerződés</t>
  </si>
  <si>
    <t>Mező neve</t>
  </si>
  <si>
    <t>Megjelenítése</t>
  </si>
  <si>
    <t>Kategóriák</t>
  </si>
  <si>
    <t>legördülő menü</t>
  </si>
  <si>
    <t>Ügyfélszektor</t>
  </si>
  <si>
    <t>Kutatási modulok</t>
  </si>
  <si>
    <t>mindegyikből maximum 1, de bármelyikből bármennyit és bármilyen formában kombinálva</t>
  </si>
  <si>
    <t>Útiköltség</t>
  </si>
  <si>
    <t>Helyszíni költség</t>
  </si>
  <si>
    <t>Ügyfél PO</t>
  </si>
  <si>
    <t>ITC</t>
  </si>
  <si>
    <t>Fizetési ütemezés</t>
  </si>
  <si>
    <t>Magyarországi CAPI</t>
  </si>
  <si>
    <t xml:space="preserve"> =7+10×(fenti szorzók)</t>
  </si>
  <si>
    <t>Ellenőrzés</t>
  </si>
  <si>
    <t xml:space="preserve"> =mintanagyság/20</t>
  </si>
  <si>
    <t>… fieldnap</t>
  </si>
  <si>
    <t xml:space="preserve"> =10×fieldnap</t>
  </si>
  <si>
    <t>Home (3)</t>
  </si>
  <si>
    <t>In-hall (2)</t>
  </si>
  <si>
    <t>Helyszíni (4)</t>
  </si>
  <si>
    <t xml:space="preserve"> =10+mintanagyság/100×0,5+mintanagyság/20</t>
  </si>
  <si>
    <t>Szervezési vezetői óra</t>
  </si>
  <si>
    <t>kérdőívhossz-sávonként 1 óra</t>
  </si>
  <si>
    <t>Rendszeres jelentés (státuszriport) ügyfél felé</t>
  </si>
  <si>
    <t>Segident / modellezés</t>
  </si>
  <si>
    <t>Conjoint Excel Tool</t>
  </si>
  <si>
    <t>Top-line / Táblariport</t>
  </si>
  <si>
    <t>10 perces</t>
  </si>
  <si>
    <t>N=100</t>
  </si>
  <si>
    <t>No Advance Stat</t>
  </si>
  <si>
    <t>Adatbázis-készítés (benne a kódolás, labelezés, adattisztítás, súlyozás)</t>
  </si>
  <si>
    <t xml:space="preserve"> +1 óra</t>
  </si>
  <si>
    <t>N= +200</t>
  </si>
  <si>
    <t xml:space="preserve"> +0,5 óra</t>
  </si>
  <si>
    <t>KANO</t>
  </si>
  <si>
    <t>Dashboard (házon kívül)</t>
  </si>
  <si>
    <t>Ügynökség</t>
  </si>
  <si>
    <t>Hazai ügyfél</t>
  </si>
  <si>
    <t>Nemzetközi ügyfél</t>
  </si>
  <si>
    <t>Döntéshozó</t>
  </si>
  <si>
    <t>Döntés-előkészítő</t>
  </si>
  <si>
    <t>Felhasználó</t>
  </si>
  <si>
    <t>Beszerző</t>
  </si>
  <si>
    <t>Van</t>
  </si>
  <si>
    <t>Brand</t>
  </si>
  <si>
    <t>Commerce</t>
  </si>
  <si>
    <t>Creative</t>
  </si>
  <si>
    <t>Customer Experience</t>
  </si>
  <si>
    <t>Innovation</t>
  </si>
  <si>
    <t>Media</t>
  </si>
  <si>
    <t>Public</t>
  </si>
  <si>
    <t>Hegedüs László</t>
  </si>
  <si>
    <t>Harcos Andrea</t>
  </si>
  <si>
    <t>Jüttner Ádám</t>
  </si>
  <si>
    <t>Kovács Brigitta</t>
  </si>
  <si>
    <t>Loránt Andrea</t>
  </si>
  <si>
    <t>Nagy Attila</t>
  </si>
  <si>
    <t>Paár György</t>
  </si>
  <si>
    <t>Szilágyi Ákos</t>
  </si>
  <si>
    <t>Tolnai Gábor</t>
  </si>
  <si>
    <t>van der Wildt Peter</t>
  </si>
  <si>
    <t>Falus Tamás</t>
  </si>
  <si>
    <t>Perjés Tamás</t>
  </si>
  <si>
    <t>Hoffmann Márta</t>
  </si>
  <si>
    <t>Ügyfél 1</t>
  </si>
  <si>
    <t>Ügyfél 2</t>
  </si>
  <si>
    <t>Ügyfél 3</t>
  </si>
  <si>
    <t>Ügyfél 4</t>
  </si>
  <si>
    <t>Ügyfél 5</t>
  </si>
  <si>
    <t>Ügyfél 6</t>
  </si>
  <si>
    <t>Ügyfél 7</t>
  </si>
  <si>
    <t>Ügyfél 8</t>
  </si>
  <si>
    <t>Ügyfél 9</t>
  </si>
  <si>
    <t>Ügyfél 10</t>
  </si>
  <si>
    <t>Ügyfél 11</t>
  </si>
  <si>
    <t>Ügyfél 12</t>
  </si>
  <si>
    <t>Ügyfél 13</t>
  </si>
  <si>
    <t>Ügyfél 14</t>
  </si>
  <si>
    <t>Ügyfél 15</t>
  </si>
  <si>
    <t>PO 12345</t>
  </si>
  <si>
    <t>szabad szavas text</t>
  </si>
  <si>
    <t>numerikus válasz</t>
  </si>
  <si>
    <t>Számlázási időpontok</t>
  </si>
  <si>
    <t>naptár megjelenítése</t>
  </si>
  <si>
    <t>Ország</t>
  </si>
  <si>
    <t>Kutatási modul</t>
  </si>
  <si>
    <t>Afganisztán</t>
  </si>
  <si>
    <t>Albánia</t>
  </si>
  <si>
    <t>Algéria</t>
  </si>
  <si>
    <t>Amerikai Egyesült Államok</t>
  </si>
  <si>
    <t>Andorra</t>
  </si>
  <si>
    <t>Angola</t>
  </si>
  <si>
    <t>Antigua és Barbuda</t>
  </si>
  <si>
    <t>Argentína</t>
  </si>
  <si>
    <t>Ausztrália</t>
  </si>
  <si>
    <t>Ausztria</t>
  </si>
  <si>
    <t>Azerbajdzsán</t>
  </si>
  <si>
    <t>Bahama-szigetek</t>
  </si>
  <si>
    <t>Bahrein</t>
  </si>
  <si>
    <t>Banglades</t>
  </si>
  <si>
    <t>Barbados</t>
  </si>
  <si>
    <t>Belgium</t>
  </si>
  <si>
    <t>Belize</t>
  </si>
  <si>
    <t>Benin</t>
  </si>
  <si>
    <t>Bhután</t>
  </si>
  <si>
    <t>Bissau-Guinea</t>
  </si>
  <si>
    <t>Bolívia</t>
  </si>
  <si>
    <t>Bosznia-Hercegovina</t>
  </si>
  <si>
    <t>Botswana</t>
  </si>
  <si>
    <t>Brazília</t>
  </si>
  <si>
    <t>Brunei</t>
  </si>
  <si>
    <t>Bulgária</t>
  </si>
  <si>
    <t>Burkina Faso</t>
  </si>
  <si>
    <t>Burundi</t>
  </si>
  <si>
    <t>Chile</t>
  </si>
  <si>
    <t>Ciprus</t>
  </si>
  <si>
    <t>Comore-szigetek</t>
  </si>
  <si>
    <t>Costa Rica</t>
  </si>
  <si>
    <t>Csád</t>
  </si>
  <si>
    <t>Csehország</t>
  </si>
  <si>
    <t>Dánia</t>
  </si>
  <si>
    <t>Dél-afrikai Köztársaság</t>
  </si>
  <si>
    <t>Dél-Korea</t>
  </si>
  <si>
    <t>Dél-Szudán</t>
  </si>
  <si>
    <t>Dominikai Közösség</t>
  </si>
  <si>
    <t>Dominikai Köztársaság</t>
  </si>
  <si>
    <t>Ecuador</t>
  </si>
  <si>
    <t>Egyenlítői-Guinea</t>
  </si>
  <si>
    <t>Egyesült Arab Emírségek</t>
  </si>
  <si>
    <t>Egyesült Királyság</t>
  </si>
  <si>
    <t>Egyiptom</t>
  </si>
  <si>
    <t>Elefántcsontpart</t>
  </si>
  <si>
    <t>Eritrea</t>
  </si>
  <si>
    <t>Észak-Macedónia</t>
  </si>
  <si>
    <t>Észak-Korea</t>
  </si>
  <si>
    <t>Észtország</t>
  </si>
  <si>
    <t>Etiópia</t>
  </si>
  <si>
    <t>Fidzsi-szigetek</t>
  </si>
  <si>
    <t>Finnország</t>
  </si>
  <si>
    <t>Franciaország</t>
  </si>
  <si>
    <t>Fülöp-szigetek</t>
  </si>
  <si>
    <t>Gabon</t>
  </si>
  <si>
    <t>Gambia</t>
  </si>
  <si>
    <t>Ghána</t>
  </si>
  <si>
    <t>Görögország</t>
  </si>
  <si>
    <t>Grenada</t>
  </si>
  <si>
    <t>Grúzia</t>
  </si>
  <si>
    <t>Guatemala</t>
  </si>
  <si>
    <t>Guinea</t>
  </si>
  <si>
    <t>Guyana</t>
  </si>
  <si>
    <t>Haiti</t>
  </si>
  <si>
    <t>Hollandia</t>
  </si>
  <si>
    <t>Honduras</t>
  </si>
  <si>
    <t>Horvátország</t>
  </si>
  <si>
    <t>India</t>
  </si>
  <si>
    <t>Indonézia</t>
  </si>
  <si>
    <t>Irak</t>
  </si>
  <si>
    <t>Irán</t>
  </si>
  <si>
    <t>Írország</t>
  </si>
  <si>
    <t>Izland</t>
  </si>
  <si>
    <t>Izrael</t>
  </si>
  <si>
    <t>Jamaica</t>
  </si>
  <si>
    <t>Japán</t>
  </si>
  <si>
    <t>Jemen</t>
  </si>
  <si>
    <t>Jordánia</t>
  </si>
  <si>
    <t>Kambodzsa</t>
  </si>
  <si>
    <t>Kamerun</t>
  </si>
  <si>
    <t>Kanada</t>
  </si>
  <si>
    <t>Katar</t>
  </si>
  <si>
    <t>Kazahsztán</t>
  </si>
  <si>
    <t>Kelet-Timor</t>
  </si>
  <si>
    <t>Kenya</t>
  </si>
  <si>
    <t>Kína</t>
  </si>
  <si>
    <t>Kirgizisztán</t>
  </si>
  <si>
    <t>Kiribati</t>
  </si>
  <si>
    <t>Kolumbia</t>
  </si>
  <si>
    <t>Kongói Demokratikus Köztársaság</t>
  </si>
  <si>
    <t>Kongói Köztársaság</t>
  </si>
  <si>
    <t>Közép-afrikai Köztársaság</t>
  </si>
  <si>
    <t>Kuba</t>
  </si>
  <si>
    <t>Kuvait</t>
  </si>
  <si>
    <t>Laosz</t>
  </si>
  <si>
    <t>Lengyelország</t>
  </si>
  <si>
    <t>Lesotho</t>
  </si>
  <si>
    <t>Lettország</t>
  </si>
  <si>
    <t>Libanon</t>
  </si>
  <si>
    <t>Libéria</t>
  </si>
  <si>
    <t>Líbia</t>
  </si>
  <si>
    <t>Liechtenstein</t>
  </si>
  <si>
    <t>Litvánia</t>
  </si>
  <si>
    <t>Luxemburg</t>
  </si>
  <si>
    <t>Madagaszkár</t>
  </si>
  <si>
    <t>Magyarország</t>
  </si>
  <si>
    <t>Malajzia</t>
  </si>
  <si>
    <t>Malawi</t>
  </si>
  <si>
    <t>Maldív-szigetek</t>
  </si>
  <si>
    <t>Mali</t>
  </si>
  <si>
    <t>Málta</t>
  </si>
  <si>
    <t>Marokkó</t>
  </si>
  <si>
    <t>Marshall-szigetek</t>
  </si>
  <si>
    <t>Mauritánia</t>
  </si>
  <si>
    <t>Mauritius</t>
  </si>
  <si>
    <t>Mexikó</t>
  </si>
  <si>
    <t>Mianmar</t>
  </si>
  <si>
    <t>Mikronézia</t>
  </si>
  <si>
    <t>Moldova</t>
  </si>
  <si>
    <t>Monaco</t>
  </si>
  <si>
    <t>Mongólia</t>
  </si>
  <si>
    <t>Montenegró</t>
  </si>
  <si>
    <t>Mozambik</t>
  </si>
  <si>
    <t>Namíbia</t>
  </si>
  <si>
    <t>Nauru</t>
  </si>
  <si>
    <t>Németország</t>
  </si>
  <si>
    <t>Nepál</t>
  </si>
  <si>
    <t>Nicaragua</t>
  </si>
  <si>
    <t>Niger</t>
  </si>
  <si>
    <t>Nigéria</t>
  </si>
  <si>
    <t>Norvégia</t>
  </si>
  <si>
    <t>Olaszország</t>
  </si>
  <si>
    <t>Omán</t>
  </si>
  <si>
    <t>Oroszország</t>
  </si>
  <si>
    <t>Örményország</t>
  </si>
  <si>
    <t>Pakisztán</t>
  </si>
  <si>
    <t>Palau</t>
  </si>
  <si>
    <t>Panama</t>
  </si>
  <si>
    <t>Pápua Új-Guinea</t>
  </si>
  <si>
    <t>Paraguay</t>
  </si>
  <si>
    <t>Peru</t>
  </si>
  <si>
    <t>Portugália</t>
  </si>
  <si>
    <t>Románia</t>
  </si>
  <si>
    <t>Ruanda</t>
  </si>
  <si>
    <t>Saint Kitts és Nevis</t>
  </si>
  <si>
    <t>Saint Lucia</t>
  </si>
  <si>
    <t>Saint Vincent és a Grenadine-szigetek</t>
  </si>
  <si>
    <t>Salamon-szigetek</t>
  </si>
  <si>
    <t>Salvador</t>
  </si>
  <si>
    <t>San Marino</t>
  </si>
  <si>
    <t>São Tomé és Príncipe</t>
  </si>
  <si>
    <t>Seychelle-szigetek</t>
  </si>
  <si>
    <t>Sierra Leone</t>
  </si>
  <si>
    <t>Spanyolország</t>
  </si>
  <si>
    <t>Srí Lanka</t>
  </si>
  <si>
    <t>Suriname</t>
  </si>
  <si>
    <t>Svájc</t>
  </si>
  <si>
    <t>Svédország</t>
  </si>
  <si>
    <t>Szamoa</t>
  </si>
  <si>
    <t>Szaúd-Arábia</t>
  </si>
  <si>
    <t>Szenegál</t>
  </si>
  <si>
    <t>Szerbia</t>
  </si>
  <si>
    <t>Szingapúr</t>
  </si>
  <si>
    <t>Szíria</t>
  </si>
  <si>
    <t>Szlovákia</t>
  </si>
  <si>
    <t>Szlovénia</t>
  </si>
  <si>
    <t>Szomália</t>
  </si>
  <si>
    <t>Szudán</t>
  </si>
  <si>
    <t>Szváziföld (Eswatini)</t>
  </si>
  <si>
    <t>Tádzsikisztán</t>
  </si>
  <si>
    <t>Tajvan</t>
  </si>
  <si>
    <t>Tanzánia</t>
  </si>
  <si>
    <t>Thaiföld</t>
  </si>
  <si>
    <t>Togo</t>
  </si>
  <si>
    <t>Tonga</t>
  </si>
  <si>
    <t>Törökország</t>
  </si>
  <si>
    <t>Trinidad és Tobago</t>
  </si>
  <si>
    <t>Tunézia</t>
  </si>
  <si>
    <t>Tuvalu</t>
  </si>
  <si>
    <t>Türkmenisztán</t>
  </si>
  <si>
    <t>Uganda</t>
  </si>
  <si>
    <t>Új-Zéland</t>
  </si>
  <si>
    <t>Ukrajna</t>
  </si>
  <si>
    <t>Uruguay</t>
  </si>
  <si>
    <t>Üzbegisztán</t>
  </si>
  <si>
    <t>Vanuatu</t>
  </si>
  <si>
    <t>Vatikán</t>
  </si>
  <si>
    <t>Venezuela</t>
  </si>
  <si>
    <t>Vietnam</t>
  </si>
  <si>
    <t>Zambia</t>
  </si>
  <si>
    <t>Zimbabwe</t>
  </si>
  <si>
    <t>numerikus választható pénznemmel</t>
  </si>
  <si>
    <t>Költségek</t>
  </si>
  <si>
    <t>HUF</t>
  </si>
  <si>
    <t>EUR</t>
  </si>
  <si>
    <t>USD</t>
  </si>
  <si>
    <t>GBP</t>
  </si>
  <si>
    <t>AED</t>
  </si>
  <si>
    <t>Egyesült Arab Emírségek-beli dirham</t>
  </si>
  <si>
    <t>AFN</t>
  </si>
  <si>
    <t>Afgán afghani</t>
  </si>
  <si>
    <t>ALL</t>
  </si>
  <si>
    <t>Albán lek</t>
  </si>
  <si>
    <t>AMD</t>
  </si>
  <si>
    <t>Örmény dram</t>
  </si>
  <si>
    <t>ANG</t>
  </si>
  <si>
    <t>Holland antillákbeli forint</t>
  </si>
  <si>
    <t>AOA</t>
  </si>
  <si>
    <t>Angolai kwanza</t>
  </si>
  <si>
    <t>ARS</t>
  </si>
  <si>
    <t>Argentin peso</t>
  </si>
  <si>
    <t>AUD</t>
  </si>
  <si>
    <t>Ausztrál dollár</t>
  </si>
  <si>
    <t>AWG</t>
  </si>
  <si>
    <t>Arubai florin</t>
  </si>
  <si>
    <t>AZN</t>
  </si>
  <si>
    <t>Azerbajdzsáni manat</t>
  </si>
  <si>
    <t>BAM</t>
  </si>
  <si>
    <t>Bosznia-hercegovinai konvertibilis márka</t>
  </si>
  <si>
    <t>BBD</t>
  </si>
  <si>
    <t>Barbadosi dollár</t>
  </si>
  <si>
    <t>BDT</t>
  </si>
  <si>
    <t>Bangladesi taka</t>
  </si>
  <si>
    <t>BGN</t>
  </si>
  <si>
    <t>Bolgár leva</t>
  </si>
  <si>
    <t>BHD</t>
  </si>
  <si>
    <t>Bahreini dinár</t>
  </si>
  <si>
    <t>BIF</t>
  </si>
  <si>
    <t>Burundi frank</t>
  </si>
  <si>
    <t>BMD</t>
  </si>
  <si>
    <t>Bermudai dollár</t>
  </si>
  <si>
    <t>BND</t>
  </si>
  <si>
    <t>Brunei dollár</t>
  </si>
  <si>
    <t>BOB</t>
  </si>
  <si>
    <t>Bolíviai boliviano</t>
  </si>
  <si>
    <t>BRL</t>
  </si>
  <si>
    <t>Brazil real</t>
  </si>
  <si>
    <t>BSD</t>
  </si>
  <si>
    <t>Bahamai dollár</t>
  </si>
  <si>
    <t>BTN</t>
  </si>
  <si>
    <t>Bhutáni ngultrum</t>
  </si>
  <si>
    <t>BWP</t>
  </si>
  <si>
    <t>Botswanai pula</t>
  </si>
  <si>
    <t>BYN</t>
  </si>
  <si>
    <t>Fehérorosz rubel</t>
  </si>
  <si>
    <t>BZD</t>
  </si>
  <si>
    <t>Belize-i dollár</t>
  </si>
  <si>
    <t>CAD</t>
  </si>
  <si>
    <t>Kanadai dollár</t>
  </si>
  <si>
    <t>CDF</t>
  </si>
  <si>
    <t>Kongói frank</t>
  </si>
  <si>
    <t>CHF</t>
  </si>
  <si>
    <t>Svájci frank</t>
  </si>
  <si>
    <t>CLP</t>
  </si>
  <si>
    <t>Chilei peso</t>
  </si>
  <si>
    <t>CNY</t>
  </si>
  <si>
    <t>Kínai jüan (Renminbi)</t>
  </si>
  <si>
    <t>COP</t>
  </si>
  <si>
    <t>Kolumbiai peso</t>
  </si>
  <si>
    <t>CRC</t>
  </si>
  <si>
    <t>Costa Rica-i colón</t>
  </si>
  <si>
    <t>CUP</t>
  </si>
  <si>
    <t>Kubai peso</t>
  </si>
  <si>
    <t>CVE</t>
  </si>
  <si>
    <t>Zöld-foki escudo</t>
  </si>
  <si>
    <t>CZK</t>
  </si>
  <si>
    <t>Cseh korona</t>
  </si>
  <si>
    <t>DJF</t>
  </si>
  <si>
    <t>Dzsibuti frank</t>
  </si>
  <si>
    <t>DKK</t>
  </si>
  <si>
    <t>Dán korona</t>
  </si>
  <si>
    <t>DOP</t>
  </si>
  <si>
    <t>Dominikai peso</t>
  </si>
  <si>
    <t>DZD</t>
  </si>
  <si>
    <t>Algériai dinár</t>
  </si>
  <si>
    <t>EGP</t>
  </si>
  <si>
    <t>Egyiptomi font</t>
  </si>
  <si>
    <t>ERN</t>
  </si>
  <si>
    <t>Eritreai nakfa</t>
  </si>
  <si>
    <t>ETB</t>
  </si>
  <si>
    <t>Etióp birr</t>
  </si>
  <si>
    <t>Euró</t>
  </si>
  <si>
    <t>FJD</t>
  </si>
  <si>
    <t>Fidzsi dollár</t>
  </si>
  <si>
    <t>FKP</t>
  </si>
  <si>
    <t>Falkland-szigeteki font</t>
  </si>
  <si>
    <t>Brit font sterling</t>
  </si>
  <si>
    <t>GEL</t>
  </si>
  <si>
    <t>Grúz lari</t>
  </si>
  <si>
    <t>GHS</t>
  </si>
  <si>
    <t>Ghánai cedi</t>
  </si>
  <si>
    <t>GIP</t>
  </si>
  <si>
    <t>Gibraltári font</t>
  </si>
  <si>
    <t>GMD</t>
  </si>
  <si>
    <t>Gambiai dalasi</t>
  </si>
  <si>
    <t>GNF</t>
  </si>
  <si>
    <t>Guineai frank</t>
  </si>
  <si>
    <t>GTQ</t>
  </si>
  <si>
    <t>Guatemalai quetzal</t>
  </si>
  <si>
    <t>GYD</t>
  </si>
  <si>
    <t>Guyanai dollár</t>
  </si>
  <si>
    <t>HKD</t>
  </si>
  <si>
    <t>Hongkongi dollár</t>
  </si>
  <si>
    <t>HNL</t>
  </si>
  <si>
    <t>Hondurasi lempira</t>
  </si>
  <si>
    <t>Magyar forint</t>
  </si>
  <si>
    <t>IDR</t>
  </si>
  <si>
    <t>Indonéz rúpia</t>
  </si>
  <si>
    <t>ILS</t>
  </si>
  <si>
    <t>Izraeli új sékel</t>
  </si>
  <si>
    <t>INR</t>
  </si>
  <si>
    <t>Indiai rúpia</t>
  </si>
  <si>
    <t>IQD</t>
  </si>
  <si>
    <t>Iraki dinár</t>
  </si>
  <si>
    <t>IRR</t>
  </si>
  <si>
    <t>Iráni rial</t>
  </si>
  <si>
    <t>ISK</t>
  </si>
  <si>
    <t>Izlandi korona</t>
  </si>
  <si>
    <t>JMD</t>
  </si>
  <si>
    <t>Jamaicai dollár</t>
  </si>
  <si>
    <t>JOD</t>
  </si>
  <si>
    <t>Jordán dinár</t>
  </si>
  <si>
    <t>JPY</t>
  </si>
  <si>
    <t>Japán jen</t>
  </si>
  <si>
    <t>KES</t>
  </si>
  <si>
    <t>Kenyai shilling</t>
  </si>
  <si>
    <t>KGS</t>
  </si>
  <si>
    <t>Kirgiz szom</t>
  </si>
  <si>
    <t>KHR</t>
  </si>
  <si>
    <t>Kambodzsai riel</t>
  </si>
  <si>
    <t>KMF</t>
  </si>
  <si>
    <t>Comore-i frank</t>
  </si>
  <si>
    <t>KPW</t>
  </si>
  <si>
    <t>Észak-koreai von</t>
  </si>
  <si>
    <t>KRW</t>
  </si>
  <si>
    <t>Dél-koreai von</t>
  </si>
  <si>
    <t>KWD</t>
  </si>
  <si>
    <t>Kuvaiti dinár</t>
  </si>
  <si>
    <t>KYD</t>
  </si>
  <si>
    <t>Kajmán-szigeteki dollár</t>
  </si>
  <si>
    <t>KZT</t>
  </si>
  <si>
    <t>Kazah tenge</t>
  </si>
  <si>
    <t>LAK</t>
  </si>
  <si>
    <t>Laoszi kip</t>
  </si>
  <si>
    <t>LBP</t>
  </si>
  <si>
    <t>Libanoni font</t>
  </si>
  <si>
    <t>LKR</t>
  </si>
  <si>
    <t>Srí Lanka-i rúpia</t>
  </si>
  <si>
    <t>LRD</t>
  </si>
  <si>
    <t>Libériai dollár</t>
  </si>
  <si>
    <t>LSL</t>
  </si>
  <si>
    <t>Lesothói loti</t>
  </si>
  <si>
    <t>LYD</t>
  </si>
  <si>
    <t>Líbiai dinár</t>
  </si>
  <si>
    <t>MAD</t>
  </si>
  <si>
    <t>Marokkói dirham</t>
  </si>
  <si>
    <t>MDL</t>
  </si>
  <si>
    <t>Moldovai leu</t>
  </si>
  <si>
    <t>MGA</t>
  </si>
  <si>
    <t>Madagaszkári ariary</t>
  </si>
  <si>
    <t>MKD</t>
  </si>
  <si>
    <t>Macedón denár</t>
  </si>
  <si>
    <t>MMK</t>
  </si>
  <si>
    <t>Mianmari kját</t>
  </si>
  <si>
    <t>MNT</t>
  </si>
  <si>
    <t>Mongóliai tugrik</t>
  </si>
  <si>
    <t>MOP</t>
  </si>
  <si>
    <t>Makaói pataca</t>
  </si>
  <si>
    <t>MRU</t>
  </si>
  <si>
    <t>Mauritániai ouguiya</t>
  </si>
  <si>
    <t>MUR</t>
  </si>
  <si>
    <t>Mauritiusi rúpia</t>
  </si>
  <si>
    <t>MVR</t>
  </si>
  <si>
    <t>Maldív-szigeteki rufiyaa</t>
  </si>
  <si>
    <t>MWK</t>
  </si>
  <si>
    <t>Malawi kwacha</t>
  </si>
  <si>
    <t>MXN</t>
  </si>
  <si>
    <t>Mexikói peso</t>
  </si>
  <si>
    <t>MYR</t>
  </si>
  <si>
    <t>Maláj ringgit</t>
  </si>
  <si>
    <t>MZN</t>
  </si>
  <si>
    <t>Mozambiki metical</t>
  </si>
  <si>
    <t>NAD</t>
  </si>
  <si>
    <t>Namíbiai dollár</t>
  </si>
  <si>
    <t>NGN</t>
  </si>
  <si>
    <t>Nigériai naira</t>
  </si>
  <si>
    <t>NIO</t>
  </si>
  <si>
    <t>Nicaraguai córdoba</t>
  </si>
  <si>
    <t>NOK</t>
  </si>
  <si>
    <t>Norvég korona</t>
  </si>
  <si>
    <t>NPR</t>
  </si>
  <si>
    <t>Nepáli rúpia</t>
  </si>
  <si>
    <t>NZD</t>
  </si>
  <si>
    <t>Új-zélandi dollár</t>
  </si>
  <si>
    <t>OMR</t>
  </si>
  <si>
    <t>Ománi rial</t>
  </si>
  <si>
    <t>PAB</t>
  </si>
  <si>
    <t>Panamai balboa</t>
  </si>
  <si>
    <t>PEN</t>
  </si>
  <si>
    <t>Perui sol</t>
  </si>
  <si>
    <t>PGK</t>
  </si>
  <si>
    <t>Pápua új-guineai kina</t>
  </si>
  <si>
    <t>PHP</t>
  </si>
  <si>
    <t>Fülöp-szigeteki peso</t>
  </si>
  <si>
    <t>PKR</t>
  </si>
  <si>
    <t>Pakisztáni rúpia</t>
  </si>
  <si>
    <t>PLN</t>
  </si>
  <si>
    <t>Lengyel zloty</t>
  </si>
  <si>
    <t>PYG</t>
  </si>
  <si>
    <t>Paraguayi guarani</t>
  </si>
  <si>
    <t>QAR</t>
  </si>
  <si>
    <t>Katari rial</t>
  </si>
  <si>
    <t>RON</t>
  </si>
  <si>
    <t>Román lej</t>
  </si>
  <si>
    <t>RSD</t>
  </si>
  <si>
    <t>Szerb dinár</t>
  </si>
  <si>
    <t>RUB</t>
  </si>
  <si>
    <t>Orosz rubel</t>
  </si>
  <si>
    <t>RWF</t>
  </si>
  <si>
    <t>Ruandai frank</t>
  </si>
  <si>
    <t>SAR</t>
  </si>
  <si>
    <t>Szaúdi riyal</t>
  </si>
  <si>
    <t>SBD</t>
  </si>
  <si>
    <t>Salamon-szigeteki dollár</t>
  </si>
  <si>
    <t>SCR</t>
  </si>
  <si>
    <t>Seychelle-szigeteki rúpia</t>
  </si>
  <si>
    <t>SDG</t>
  </si>
  <si>
    <t>Szudáni font</t>
  </si>
  <si>
    <t>SEK</t>
  </si>
  <si>
    <t>Svéd korona</t>
  </si>
  <si>
    <t>SGD</t>
  </si>
  <si>
    <t>Szingapúri dollár</t>
  </si>
  <si>
    <t>SHP</t>
  </si>
  <si>
    <t>Szent Ilona-i font</t>
  </si>
  <si>
    <t>SLL</t>
  </si>
  <si>
    <t>Sierra Leone-i leone</t>
  </si>
  <si>
    <t>SOS</t>
  </si>
  <si>
    <t>Szomáli shilling</t>
  </si>
  <si>
    <t>SRD</t>
  </si>
  <si>
    <t>Suriname-i dollár</t>
  </si>
  <si>
    <t>STN</t>
  </si>
  <si>
    <t>São Tomé és Príncipe-i dobra</t>
  </si>
  <si>
    <t>SYP</t>
  </si>
  <si>
    <t>Szíriai font</t>
  </si>
  <si>
    <t>SZL</t>
  </si>
  <si>
    <t>Szváziföldi lilangeni</t>
  </si>
  <si>
    <t>THB</t>
  </si>
  <si>
    <t>Thaiföldi baht</t>
  </si>
  <si>
    <t>TJS</t>
  </si>
  <si>
    <t>Tádzsik szomoni</t>
  </si>
  <si>
    <t>TMT</t>
  </si>
  <si>
    <t>Türkmén manat</t>
  </si>
  <si>
    <t>TND</t>
  </si>
  <si>
    <t>Tunéziai dinár</t>
  </si>
  <si>
    <t>TOP</t>
  </si>
  <si>
    <t>Tongai paʻanga</t>
  </si>
  <si>
    <t>TRY</t>
  </si>
  <si>
    <t>Török líra</t>
  </si>
  <si>
    <t>TTD</t>
  </si>
  <si>
    <t>Trinidad és Tobagó-i dollár</t>
  </si>
  <si>
    <t>TWD</t>
  </si>
  <si>
    <t>Tajvani új dollár</t>
  </si>
  <si>
    <t>TZS</t>
  </si>
  <si>
    <t>Tanzániai shilling</t>
  </si>
  <si>
    <t>UAH</t>
  </si>
  <si>
    <t>Ukrán hrivnya</t>
  </si>
  <si>
    <t>UGX</t>
  </si>
  <si>
    <t>Ugandai shilling</t>
  </si>
  <si>
    <t>Amerikai dollár</t>
  </si>
  <si>
    <t>UYU</t>
  </si>
  <si>
    <t>Uruguayi peso</t>
  </si>
  <si>
    <t>UZS</t>
  </si>
  <si>
    <t>Üzbég szum</t>
  </si>
  <si>
    <t>VES</t>
  </si>
  <si>
    <t>Venezuelai bolívar</t>
  </si>
  <si>
    <t>VND</t>
  </si>
  <si>
    <t>Vietnámi dong</t>
  </si>
  <si>
    <t>VUV</t>
  </si>
  <si>
    <t>Vanuatuatu vatu</t>
  </si>
  <si>
    <t>WST</t>
  </si>
  <si>
    <t>Szamoai tala</t>
  </si>
  <si>
    <t>XAF</t>
  </si>
  <si>
    <t>Közép-afrikai CFA frank (BEAC)</t>
  </si>
  <si>
    <t>XCD</t>
  </si>
  <si>
    <t>Kelet-karibi dollár</t>
  </si>
  <si>
    <t>XOF</t>
  </si>
  <si>
    <t>Nyugat-afrikai CFA frank (BCEAO)</t>
  </si>
  <si>
    <t>XPF</t>
  </si>
  <si>
    <t>Csendes-óceáni frank (CFP)</t>
  </si>
  <si>
    <t>YER</t>
  </si>
  <si>
    <t>Jemeni rial</t>
  </si>
  <si>
    <t>ZAR</t>
  </si>
  <si>
    <t>Dél-afrikai rand</t>
  </si>
  <si>
    <t>ZMW</t>
  </si>
  <si>
    <t>Zambiai kwacha</t>
  </si>
  <si>
    <t xml:space="preserve"> </t>
  </si>
  <si>
    <t>ALL Albán lek</t>
  </si>
  <si>
    <t>HUF Magyar forint</t>
  </si>
  <si>
    <t>Field alvállalkozók</t>
  </si>
  <si>
    <t>Egyéb külsős</t>
  </si>
  <si>
    <t>NRC</t>
  </si>
  <si>
    <t>Rafman</t>
  </si>
  <si>
    <t>Cint</t>
  </si>
  <si>
    <t>Daedalus</t>
  </si>
  <si>
    <t>Statista Sh.p.k.</t>
  </si>
  <si>
    <t>Jován Zsuzsanna</t>
  </si>
  <si>
    <t>Péterffy Borbála</t>
  </si>
  <si>
    <t>Dormán Emese</t>
  </si>
  <si>
    <t>Egyéb #4</t>
  </si>
  <si>
    <t>Egyéb #5</t>
  </si>
  <si>
    <t>Egyéb #6</t>
  </si>
  <si>
    <t>Egyéb #7</t>
  </si>
  <si>
    <t>Egyéb #8</t>
  </si>
  <si>
    <t>Egyéb #9</t>
  </si>
  <si>
    <t>Egyéb #10</t>
  </si>
  <si>
    <t>Egyéb #11</t>
  </si>
  <si>
    <t>Egyéb #12</t>
  </si>
  <si>
    <t>Egyéb #13</t>
  </si>
  <si>
    <t>Egyéb #14</t>
  </si>
  <si>
    <t>Egyéb #15</t>
  </si>
  <si>
    <t>Field alvállalkozók PO-képzéshez</t>
  </si>
  <si>
    <t>Field alvállalkozó személy</t>
  </si>
  <si>
    <t>Külsős elemzők PO-képzéshez</t>
  </si>
  <si>
    <t>Külsős elemző személy</t>
  </si>
  <si>
    <t>Külsős DP alvállalkozó PO-képzéshez</t>
  </si>
  <si>
    <t>Külsős DP alvállalkozó személy</t>
  </si>
  <si>
    <t>Egyéb külsős PO-képzéshez</t>
  </si>
  <si>
    <t>Egyéb külsős személy</t>
  </si>
  <si>
    <t>Márton György</t>
  </si>
  <si>
    <t>Megkérdezettek köre</t>
  </si>
  <si>
    <t>Nem kell megjelennie, automatikusan veszi fel a 0. Nem vagy 1. Igen attól függően, hogy melyik adatfelvételi módszertant és országot jelöli be</t>
  </si>
  <si>
    <t>0. Nincs</t>
  </si>
  <si>
    <t>1. lakossági</t>
  </si>
  <si>
    <t>2. vállalati
3. orvos
4. szakértő</t>
  </si>
  <si>
    <t>Szorzó:
1,3</t>
  </si>
  <si>
    <t>Platform</t>
  </si>
  <si>
    <t>Interjú hossza</t>
  </si>
  <si>
    <t>Szervezés nehézsége</t>
  </si>
  <si>
    <t>Kontaktlista</t>
  </si>
  <si>
    <t>Ügyfél általi szervezés / előmelegítés</t>
  </si>
  <si>
    <t xml:space="preserve">Megkérdezés helye </t>
  </si>
  <si>
    <t>Előfeladat</t>
  </si>
  <si>
    <t>Napok száma (1 - 10)</t>
  </si>
  <si>
    <t>Résztvevők száma (10-40)</t>
  </si>
  <si>
    <t xml:space="preserve">Napi időráfordítás </t>
  </si>
  <si>
    <t>Megfigyelési munkaórák száma</t>
  </si>
  <si>
    <t>Megfigyelés helyszíne</t>
  </si>
  <si>
    <t>Száma</t>
  </si>
  <si>
    <t>Mintanagyság</t>
  </si>
  <si>
    <t>HA n&gt;1000</t>
  </si>
  <si>
    <t>Szorzó: 1</t>
  </si>
  <si>
    <r>
      <t>HA n</t>
    </r>
    <r>
      <rPr>
        <sz val="10"/>
        <color theme="1"/>
        <rFont val="Aptos Narrow"/>
        <family val="2"/>
      </rPr>
      <t>≤</t>
    </r>
    <r>
      <rPr>
        <sz val="10"/>
        <color theme="1"/>
        <rFont val="Arial"/>
        <family val="2"/>
        <charset val="238"/>
      </rPr>
      <t>1000</t>
    </r>
  </si>
  <si>
    <t>Szorzó: 1,1</t>
  </si>
  <si>
    <t>A nagyobb minta nem csupán lineáris költségnövekedéssel, hanem extra szervezői erőfeszítéssel is jár.</t>
  </si>
  <si>
    <t>Mintavétel komplexitás</t>
  </si>
  <si>
    <t>1. egyszerű (például véletlen)</t>
  </si>
  <si>
    <t>2. átlagos (könnyű kvóta)
3. nehéz
4. extrém</t>
  </si>
  <si>
    <t>Kvótaszempontok száma</t>
  </si>
  <si>
    <t>Kérdőív hossza</t>
  </si>
  <si>
    <t>6 + kérdőívhossz-sávonként +2 óra</t>
  </si>
  <si>
    <t>Alapból a legrövidebb (5-10 perces) kérdőívnél is van 6 szervezői óra, utána minden 5 perces növekmény +2 óra időráfordítással jár. Példa: a 26-30 perces kérdőív óraigénye 6+4×2 óra, azaz 14 óra.</t>
  </si>
  <si>
    <t>Fieldnapok száma (operáció tölti ki)</t>
  </si>
  <si>
    <t>Megkérdezés helye</t>
  </si>
  <si>
    <t>Numerikus válasz (két mező)</t>
  </si>
  <si>
    <t>Csak akkor jelenjen meg, ha Terepmunka=4 (CAPI helyszíni és Ország = Magyarország)</t>
  </si>
  <si>
    <t>Csak a magyarországi CAPI helyszíni kutatásoknál van jelentősége a fieldnapok számának</t>
  </si>
  <si>
    <t>Napok száma</t>
  </si>
  <si>
    <t>Résztvevők száma</t>
  </si>
  <si>
    <t>Helyszínek száma</t>
  </si>
  <si>
    <t>Sysweb Kft.</t>
  </si>
  <si>
    <t>Reloaded Solutions Kft.</t>
  </si>
  <si>
    <t>Posch Ferenc</t>
  </si>
  <si>
    <t>Őzse János</t>
  </si>
  <si>
    <t xml:space="preserve">Pusztai Tamás </t>
  </si>
  <si>
    <t>Kovács Henrietta</t>
  </si>
  <si>
    <t>Németh Andrea</t>
  </si>
  <si>
    <t>Pusztai Tamás László EV</t>
  </si>
  <si>
    <t>Dr. Galácz András Lajosné</t>
  </si>
  <si>
    <t>Jován Zsuzsanna EV</t>
  </si>
  <si>
    <t xml:space="preserve">Moovie Art Bt </t>
  </si>
  <si>
    <t>Péterffy Borbála EV</t>
  </si>
  <si>
    <t>Dormán Emese EV</t>
  </si>
  <si>
    <t>Andrew</t>
  </si>
  <si>
    <t>Valicon</t>
  </si>
  <si>
    <t>Hendal</t>
  </si>
  <si>
    <t>Skrivanek</t>
  </si>
  <si>
    <t>0. Nem 
1. Házon kívül
2. Házon belül</t>
  </si>
  <si>
    <t>0. Nem
1. Házon kívül</t>
  </si>
  <si>
    <t>2. Házon belül</t>
  </si>
  <si>
    <t>Nincs programozási költség</t>
  </si>
  <si>
    <t>Ha sztenderd kérdőív</t>
  </si>
  <si>
    <t>Ha Conjoint=1 VAGY Szegmentáció=1</t>
  </si>
  <si>
    <t xml:space="preserve">6 + kérdőívhossz-sávonként 2 óra </t>
  </si>
  <si>
    <t>Csak akkor jelenjen meg, ha Terepmunka=2 vagy 4 (CAPI in-hall vagy helyszíni ÉS Ország = Magyarország)</t>
  </si>
  <si>
    <t>Csak a magyarországi CAPI in-hall vagy helyszíni kutatásoknál van jelentősége a fieldnapok számának</t>
  </si>
  <si>
    <t>0. Nem</t>
  </si>
  <si>
    <t>1. Igen</t>
  </si>
  <si>
    <t>Csak akkor jelenik meg , ha Terepmunka=5 (CAWI)</t>
  </si>
  <si>
    <t>1. Házon kívül</t>
  </si>
  <si>
    <t xml:space="preserve"> =mintanagyság / 200*(1+kvótaszempontok száma/10)</t>
  </si>
  <si>
    <t xml:space="preserve"> =jelentések száma (D47)</t>
  </si>
  <si>
    <t>???</t>
  </si>
  <si>
    <t xml:space="preserve"> =(1+kvótaszempontok száma/10)×3</t>
  </si>
  <si>
    <t>Az adatbázist házon kívül készítik el.</t>
  </si>
  <si>
    <t>Az adatbázist belső munkaórával állítjuk elő.</t>
  </si>
  <si>
    <t>Ellenőrzési munkaóra</t>
  </si>
  <si>
    <r>
      <t>HA Terepmunka=1 VAGY Terepmunka=5 VAGY Ország</t>
    </r>
    <r>
      <rPr>
        <sz val="10"/>
        <rFont val="Aptos Narrow"/>
        <family val="2"/>
      </rPr>
      <t>≠</t>
    </r>
    <r>
      <rPr>
        <sz val="10"/>
        <rFont val="Arial"/>
        <family val="2"/>
        <charset val="238"/>
      </rPr>
      <t>Magyarország</t>
    </r>
  </si>
  <si>
    <t>Csak a magyarországi CAPI in-hall terepmunkák esetében</t>
  </si>
  <si>
    <t>1. Van, mert Terepmunka=2 ÉS Ország=Magyarország</t>
  </si>
  <si>
    <t>1. Van, mert Terepmunka=3 ÉS Ország=Magyarország</t>
  </si>
  <si>
    <t>1. Van, mert Terepmunka=4 ÉS Ország=Magyarország</t>
  </si>
  <si>
    <t>Csak a magyarországi CAPI in-home terepmunkák esetében</t>
  </si>
  <si>
    <t>Csak a magyarországi CAPI helyszíni terepmunkák esetében</t>
  </si>
  <si>
    <t xml:space="preserve"> =7+10×(az alábbi szorzók)</t>
  </si>
  <si>
    <t>1. Van</t>
  </si>
  <si>
    <t>Ha minden további sor 0 db</t>
  </si>
  <si>
    <t>Ha
Debrief &gt;0 VAGY
Topline &gt;0 VAGY
Egyszerű elemzés &gt;0 VAGY
Mélyelemzés &gt;0 VAGY
Mgmt summary &gt;0 VAGY
Prezentáció &gt;0 VAGY
Filmkészítés &gt;0.</t>
  </si>
  <si>
    <t>csak Conjointtal (Conjoint=1) rendelhető meg</t>
  </si>
  <si>
    <t>csak Modellezéssel (Modellezés=1) rendelhető meg</t>
  </si>
  <si>
    <t>Mintaméret</t>
  </si>
  <si>
    <t>Advance Analysis</t>
  </si>
  <si>
    <t>Lásd a lenti táblázatot</t>
  </si>
  <si>
    <t xml:space="preserve"> =10+(mintanagyság/100×0,5)</t>
  </si>
  <si>
    <t>6 + kérdőívhossz-sávonként 2 óra + 5 (ha conjoint vagy szegmentáció)</t>
  </si>
  <si>
    <t xml:space="preserve"> =kérdőívhossz-sávonként×0,5+0,005×mintanagyság+4+mintanagyság/100×4×kérdőívhossz-sávonként +10%×(1+kvótadarabszám/10)
 </t>
  </si>
  <si>
    <t>HA Adatbázis&gt;0 VAGY 
Topline / Táblariport&gt;0 VAGY 
Egyszerű elemzés&gt;0 VAGY
Mélyelemzés&gt; VAGY
Management summary&gt;0 VAGY
Prezentáció&gt;0 VAGY
Segident / modellezés&gt;0 VAGY
Conjoint Excel Tool&gt;0 VAGY
Score card&gt;0 VAGY
Dashboard&gt;0</t>
  </si>
  <si>
    <t xml:space="preserve"> =8+  (kérdőívhossz-sávonként +1 óra; N=+200 0,5 óra)</t>
  </si>
  <si>
    <t xml:space="preserve"> =20+ (kérdőívhossz-sávonként +1 óra; N=+200 0,5 óra)</t>
  </si>
  <si>
    <t xml:space="preserve"> =8+ (kérdőívhossz-sávonként +1 óra; N=+200 0,5 óra)</t>
  </si>
  <si>
    <t xml:space="preserve"> =4+ (kérdőívhossz-sávonként +1 óra; N=+200 0,5 óra)</t>
  </si>
  <si>
    <t xml:space="preserve"> =1+ (kérdőívhossz-sávonként +1 óra; N=+200 0,5 óra)</t>
  </si>
  <si>
    <t>kérdőívhossz-sáv</t>
  </si>
  <si>
    <t xml:space="preserve"> =2+workshop óra</t>
  </si>
  <si>
    <t xml:space="preserve"> =2+workshop óra </t>
  </si>
  <si>
    <t>2. Extra rövid: szorzó 1,2 minden belső költségre</t>
  </si>
  <si>
    <t>Brief:</t>
  </si>
  <si>
    <t>- Milyen szimbolikus jelentések és üzenetek jelennek meg a Telekom kommunikációjában (pl. reklámok, weboldal, social media)?</t>
  </si>
  <si>
    <t>- Hogyan értelmezik a fogyasztók ezeket az üzeneteket?</t>
  </si>
  <si>
    <t>- Milyen kulturális és társadalmi kódok befolyásolják a Telekom márka megítélését Magyarországon?</t>
  </si>
  <si>
    <t>1. Anyaggyűjtés és előzetes elemzés</t>
  </si>
  <si>
    <t>2. Szemiotikai kódok és jelek azonosítása</t>
  </si>
  <si>
    <t>3. Fogyasztói értelmezések feltárása (interjúk/fókuszcsoportok)</t>
  </si>
  <si>
    <t>4. Eredmények összegzése, ajánlások megfogalmazása</t>
  </si>
  <si>
    <t>- Átfogó szemiotikai térkép a Telekom kommunikációjáról</t>
  </si>
  <si>
    <t>- Fogyasztói visszacsatolások és értelmezési minták</t>
  </si>
  <si>
    <t>- Javaslatok a kommunikáció finomhangolására</t>
  </si>
  <si>
    <t>Háttér és cél</t>
  </si>
  <si>
    <t xml:space="preserve">Megrendelő: </t>
  </si>
  <si>
    <t>Cél:</t>
  </si>
  <si>
    <t>Kutatás típusa:</t>
  </si>
  <si>
    <t>Magyar Telekom</t>
  </si>
  <si>
    <t>Megérteni a Telekom márka és kommunikáció szemiotikai elemeit, hogy javítsuk a márkaüzenetek hatékonyságát és a fogyasztói kapcsolódást.</t>
  </si>
  <si>
    <t>Szemiotikai elemzés, kvalitatív jellegű, demo jelleggel, külsős alvállalkozó bevonásával.</t>
  </si>
  <si>
    <t>Kutatási kérdések</t>
  </si>
  <si>
    <t xml:space="preserve">Elemzendő anyagok: </t>
  </si>
  <si>
    <t xml:space="preserve">Kutatási eszközök: </t>
  </si>
  <si>
    <t>Módszertan</t>
  </si>
  <si>
    <t xml:space="preserve">Külsős alvállalkozó: </t>
  </si>
  <si>
    <t>Telekom reklámkampányok, online tartalmak, vizuális és verbális kommunikáció.</t>
  </si>
  <si>
    <t>Szemiotikai elemzés, fókuszcsoportok vagy mélyinterjúk a fogyasztói értelmezések feltárására.</t>
  </si>
  <si>
    <t>Egy szemiotikai szakértő vagy kutatócég bevonása, akik tapasztalattal rendelkeznek márkaelemzésben.</t>
  </si>
  <si>
    <t>Főbb lépések</t>
  </si>
  <si>
    <t>Időkeret</t>
  </si>
  <si>
    <t>Demo kutatás időtartama:</t>
  </si>
  <si>
    <t>Tervezett indulás:</t>
  </si>
  <si>
    <t>Várható befejezés:</t>
  </si>
  <si>
    <t>4-6 hét</t>
  </si>
  <si>
    <t>Várt eredmények</t>
  </si>
  <si>
    <t>Stáció</t>
  </si>
  <si>
    <t>Divízió</t>
  </si>
  <si>
    <t>Div</t>
  </si>
  <si>
    <t>K - MI divízió</t>
  </si>
  <si>
    <t>M - Média divízió</t>
  </si>
  <si>
    <t>B - Belső</t>
  </si>
  <si>
    <t>Országok száma</t>
  </si>
  <si>
    <t>ez alapján nyílik le C11 db országfül</t>
  </si>
  <si>
    <t>Országok:</t>
  </si>
  <si>
    <t>Magyarország, Albánia</t>
  </si>
  <si>
    <t>Adatgyűjtés</t>
  </si>
  <si>
    <t>F - FMCG</t>
  </si>
  <si>
    <t>H - Health Care</t>
  </si>
  <si>
    <t>I - ICT</t>
  </si>
  <si>
    <t>K - Közlekedés</t>
  </si>
  <si>
    <t>E - Közmüvek és energia</t>
  </si>
  <si>
    <t>M - Média</t>
  </si>
  <si>
    <t>P - Pénzügy</t>
  </si>
  <si>
    <t>R - Retail / HORECA</t>
  </si>
  <si>
    <t>S - Social / NGO / GO</t>
  </si>
  <si>
    <t>D - Tartós fogyasztási cikkek</t>
  </si>
  <si>
    <t>T - Turizmus</t>
  </si>
  <si>
    <t>X - Egyéb</t>
  </si>
  <si>
    <t>A - Agrárszektor</t>
  </si>
  <si>
    <t>C - Autóipar</t>
  </si>
  <si>
    <t>Szia Gyula!</t>
  </si>
  <si>
    <t>Múlt heti beszélgetésünknek megfelelően küldöm a modulok felépítésével kapcsolatos elképzeléseinket első körben most csak a Szemiotika modulra.</t>
  </si>
  <si>
    <t>A Tartalom című munkalapon bemutatunk egy ügyféltől érkező klasszikus briefet szemiotika témában. Ezt a briefet kellene az első teszthez lefordítani programra.</t>
  </si>
  <si>
    <t>Utána jön a Nyitóoldal nevű rész, amelynek kitöltésével majd a Kantar alkalmazottja eljut a témaszám generálásáig. Ha megnézed, itt sok helyen legördülő menüben ott vannak a lehetőségek (ügyfélkategória, szektor, kontakt, domain, üzletszerző, stb.).</t>
  </si>
  <si>
    <t>A lényeg most első lépésben az Insightment_Szemiotika munkalap. Itt található meg, hogy melyik termék / szolgáltatás / elemzési munka hány óra időráfordítást igényel az egyes elemzői és vezetői szintektől.</t>
  </si>
  <si>
    <t>Mivel első nézésre biztosan nehéz kiigazodni, szívesen végigmegyek / végigmegyünk Veled akár egy online meeting keretében az egyes munkalapokon, azok sorain.</t>
  </si>
  <si>
    <t>Köszönöm szépen.</t>
  </si>
  <si>
    <t>Kellemes hosszú hétvégét!</t>
  </si>
  <si>
    <t>1. FMCG</t>
  </si>
  <si>
    <t>2. Retail</t>
  </si>
  <si>
    <t>3. Health Care</t>
  </si>
  <si>
    <t>4. Telecommunication</t>
  </si>
  <si>
    <t>5. Finance</t>
  </si>
  <si>
    <t>6. DCG (Durables)</t>
  </si>
  <si>
    <t>7. HORECA</t>
  </si>
  <si>
    <t>8. Automotive</t>
  </si>
  <si>
    <t>9. Energy, public utilities</t>
  </si>
  <si>
    <t>10. Agro</t>
  </si>
  <si>
    <t>11. Media</t>
  </si>
  <si>
    <t>12. Social</t>
  </si>
  <si>
    <t>13. Tourism</t>
  </si>
  <si>
    <t>14. Other</t>
  </si>
  <si>
    <t>Szektorok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</si>
</sst>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yyyy/mm/dd;@"/>
  </numFmts>
  <fonts count="30" x14ac:knownFonts="1">
    <font>
      <sz val="11"/>
      <color theme="1"/>
      <name val="Aptos Narrow"/>
      <family val="2"/>
      <charset val="238"/>
      <scheme val="minor"/>
    </font>
    <font>
      <sz val="12"/>
      <color theme="0"/>
      <name val="Arial"/>
      <family val="2"/>
      <charset val="238"/>
    </font>
    <font>
      <sz val="12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12"/>
      <color rgb="FFFF0000"/>
      <name val="Arial"/>
      <family val="2"/>
      <charset val="238"/>
    </font>
    <font>
      <sz val="8"/>
      <name val="Aptos Narrow"/>
      <family val="2"/>
      <charset val="238"/>
      <scheme val="minor"/>
    </font>
    <font>
      <sz val="10"/>
      <name val="Arial"/>
      <family val="2"/>
      <charset val="238"/>
    </font>
    <font>
      <sz val="12"/>
      <name val="Arial"/>
      <family val="2"/>
      <charset val="238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2"/>
      <color theme="0" tint="-0.499984740745262"/>
      <name val="Arial"/>
      <family val="2"/>
      <charset val="238"/>
    </font>
    <font>
      <sz val="10"/>
      <color theme="0" tint="-0.499984740745262"/>
      <name val="Arial"/>
      <family val="2"/>
      <charset val="238"/>
    </font>
    <font>
      <sz val="12"/>
      <color theme="0" tint="-0.34998626667073579"/>
      <name val="Arial"/>
      <family val="2"/>
      <charset val="238"/>
    </font>
    <font>
      <sz val="10"/>
      <color theme="0" tint="-0.34998626667073579"/>
      <name val="Arial"/>
      <family val="2"/>
      <charset val="238"/>
    </font>
    <font>
      <b/>
      <sz val="12"/>
      <color rgb="FFC00000"/>
      <name val="Arial"/>
      <family val="2"/>
      <charset val="238"/>
    </font>
    <font>
      <b/>
      <sz val="10"/>
      <color rgb="FFC00000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name val="Arial"/>
      <family val="2"/>
      <charset val="238"/>
    </font>
    <font>
      <sz val="10"/>
      <color theme="0"/>
      <name val="Arial"/>
      <family val="2"/>
      <charset val="238"/>
    </font>
    <font>
      <b/>
      <sz val="10"/>
      <color theme="1"/>
      <name val="Arial"/>
      <family val="2"/>
      <charset val="238"/>
    </font>
    <font>
      <sz val="11"/>
      <color theme="1"/>
      <name val="Aptos Narrow"/>
      <family val="2"/>
      <charset val="238"/>
      <scheme val="minor"/>
    </font>
    <font>
      <sz val="10"/>
      <color theme="1"/>
      <name val="Aptos Narrow"/>
      <family val="2"/>
    </font>
    <font>
      <sz val="10"/>
      <name val="Aptos Narrow"/>
      <family val="2"/>
    </font>
    <font>
      <sz val="12"/>
      <color theme="1"/>
      <name val="Aptos Narrow"/>
      <family val="2"/>
      <charset val="238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2"/>
      <color rgb="FF222222"/>
      <name val="Arial"/>
      <family val="2"/>
      <charset val="238"/>
    </font>
    <font>
      <sz val="12"/>
      <color rgb="FF222222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3" fontId="22" fillId="0" borderId="0" applyFont="0" applyFill="0" applyBorder="0" applyAlignment="0" applyProtection="0"/>
  </cellStyleXfs>
  <cellXfs count="36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5" borderId="1" xfId="0" applyFont="1" applyFill="1" applyBorder="1"/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8" fillId="6" borderId="1" xfId="0" applyFont="1" applyFill="1" applyBorder="1"/>
    <xf numFmtId="0" fontId="8" fillId="0" borderId="0" xfId="0" applyFont="1"/>
    <xf numFmtId="0" fontId="7" fillId="5" borderId="1" xfId="0" applyFont="1" applyFill="1" applyBorder="1" applyAlignment="1">
      <alignment vertical="center" wrapText="1"/>
    </xf>
    <xf numFmtId="0" fontId="5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5" borderId="1" xfId="0" applyFont="1" applyFill="1" applyBorder="1"/>
    <xf numFmtId="0" fontId="8" fillId="6" borderId="5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wrapText="1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9" fillId="0" borderId="0" xfId="1"/>
    <xf numFmtId="0" fontId="10" fillId="0" borderId="0" xfId="0" applyFont="1"/>
    <xf numFmtId="0" fontId="10" fillId="0" borderId="13" xfId="0" applyFont="1" applyBorder="1"/>
    <xf numFmtId="0" fontId="0" fillId="0" borderId="13" xfId="0" applyBorder="1"/>
    <xf numFmtId="0" fontId="7" fillId="8" borderId="1" xfId="0" applyFont="1" applyFill="1" applyBorder="1" applyAlignment="1">
      <alignment horizontal="left" vertical="center" wrapText="1"/>
    </xf>
    <xf numFmtId="0" fontId="8" fillId="10" borderId="10" xfId="0" applyFont="1" applyFill="1" applyBorder="1" applyAlignment="1">
      <alignment vertical="center"/>
    </xf>
    <xf numFmtId="0" fontId="5" fillId="10" borderId="6" xfId="0" applyFont="1" applyFill="1" applyBorder="1" applyAlignment="1">
      <alignment vertical="center"/>
    </xf>
    <xf numFmtId="0" fontId="4" fillId="10" borderId="1" xfId="0" applyFont="1" applyFill="1" applyBorder="1"/>
    <xf numFmtId="0" fontId="5" fillId="10" borderId="1" xfId="0" applyFont="1" applyFill="1" applyBorder="1"/>
    <xf numFmtId="0" fontId="1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8" fillId="10" borderId="6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left" vertical="center" wrapText="1"/>
    </xf>
    <xf numFmtId="0" fontId="3" fillId="10" borderId="1" xfId="0" applyFont="1" applyFill="1" applyBorder="1"/>
    <xf numFmtId="0" fontId="15" fillId="0" borderId="0" xfId="0" applyFont="1"/>
    <xf numFmtId="0" fontId="8" fillId="4" borderId="1" xfId="0" applyFont="1" applyFill="1" applyBorder="1" applyAlignment="1">
      <alignment vertical="center"/>
    </xf>
    <xf numFmtId="0" fontId="15" fillId="7" borderId="5" xfId="0" applyFont="1" applyFill="1" applyBorder="1" applyAlignment="1">
      <alignment vertical="center"/>
    </xf>
    <xf numFmtId="0" fontId="15" fillId="7" borderId="6" xfId="0" applyFont="1" applyFill="1" applyBorder="1" applyAlignment="1">
      <alignment vertical="center"/>
    </xf>
    <xf numFmtId="0" fontId="16" fillId="7" borderId="1" xfId="0" applyFont="1" applyFill="1" applyBorder="1" applyAlignment="1">
      <alignment wrapText="1"/>
    </xf>
    <xf numFmtId="0" fontId="15" fillId="7" borderId="1" xfId="0" applyFont="1" applyFill="1" applyBorder="1" applyAlignment="1">
      <alignment vertical="center"/>
    </xf>
    <xf numFmtId="0" fontId="15" fillId="7" borderId="1" xfId="0" applyFont="1" applyFill="1" applyBorder="1"/>
    <xf numFmtId="0" fontId="7" fillId="4" borderId="8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wrapText="1"/>
    </xf>
    <xf numFmtId="0" fontId="15" fillId="4" borderId="1" xfId="0" applyFont="1" applyFill="1" applyBorder="1"/>
    <xf numFmtId="0" fontId="15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wrapText="1"/>
    </xf>
    <xf numFmtId="0" fontId="2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left" vertical="top" wrapText="1"/>
    </xf>
    <xf numFmtId="0" fontId="7" fillId="8" borderId="8" xfId="0" applyFont="1" applyFill="1" applyBorder="1" applyAlignment="1">
      <alignment horizontal="left" vertical="top" wrapText="1"/>
    </xf>
    <xf numFmtId="0" fontId="7" fillId="8" borderId="9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top" wrapText="1"/>
    </xf>
    <xf numFmtId="0" fontId="3" fillId="0" borderId="0" xfId="0" applyFont="1"/>
    <xf numFmtId="0" fontId="21" fillId="0" borderId="0" xfId="0" applyFont="1"/>
    <xf numFmtId="0" fontId="2" fillId="4" borderId="1" xfId="0" applyFont="1" applyFill="1" applyBorder="1" applyAlignment="1">
      <alignment vertical="top"/>
    </xf>
    <xf numFmtId="9" fontId="3" fillId="0" borderId="0" xfId="0" applyNumberFormat="1" applyFont="1"/>
    <xf numFmtId="164" fontId="3" fillId="0" borderId="0" xfId="2" applyNumberFormat="1" applyFont="1"/>
    <xf numFmtId="0" fontId="7" fillId="4" borderId="9" xfId="0" applyFont="1" applyFill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8" fillId="4" borderId="1" xfId="0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2" fillId="4" borderId="0" xfId="0" applyFont="1" applyFill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16" fillId="4" borderId="1" xfId="0" applyFont="1" applyFill="1" applyBorder="1" applyAlignment="1">
      <alignment vertical="top" wrapText="1"/>
    </xf>
    <xf numFmtId="0" fontId="16" fillId="4" borderId="1" xfId="0" applyFont="1" applyFill="1" applyBorder="1" applyAlignment="1">
      <alignment vertical="top"/>
    </xf>
    <xf numFmtId="0" fontId="15" fillId="4" borderId="0" xfId="0" applyFont="1" applyFill="1" applyAlignment="1">
      <alignment vertical="top"/>
    </xf>
    <xf numFmtId="0" fontId="2" fillId="7" borderId="5" xfId="0" applyFont="1" applyFill="1" applyBorder="1" applyAlignment="1">
      <alignment vertical="top"/>
    </xf>
    <xf numFmtId="0" fontId="2" fillId="7" borderId="6" xfId="0" applyFont="1" applyFill="1" applyBorder="1" applyAlignment="1">
      <alignment vertical="top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3" fillId="7" borderId="7" xfId="0" applyFont="1" applyFill="1" applyBorder="1" applyAlignment="1">
      <alignment horizontal="left" vertical="top" wrapText="1"/>
    </xf>
    <xf numFmtId="0" fontId="3" fillId="7" borderId="9" xfId="0" applyFont="1" applyFill="1" applyBorder="1" applyAlignment="1">
      <alignment horizontal="left" vertical="top" wrapText="1"/>
    </xf>
    <xf numFmtId="0" fontId="3" fillId="7" borderId="9" xfId="0" applyFont="1" applyFill="1" applyBorder="1" applyAlignment="1">
      <alignment horizontal="center" vertical="top"/>
    </xf>
    <xf numFmtId="0" fontId="8" fillId="5" borderId="5" xfId="0" applyFont="1" applyFill="1" applyBorder="1" applyAlignment="1">
      <alignment horizontal="left" vertical="top" wrapText="1"/>
    </xf>
    <xf numFmtId="0" fontId="8" fillId="5" borderId="6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 wrapText="1"/>
    </xf>
    <xf numFmtId="0" fontId="2" fillId="5" borderId="6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5" borderId="5" xfId="0" applyFont="1" applyFill="1" applyBorder="1" applyAlignment="1">
      <alignment vertical="top"/>
    </xf>
    <xf numFmtId="0" fontId="2" fillId="5" borderId="6" xfId="0" applyFont="1" applyFill="1" applyBorder="1" applyAlignment="1">
      <alignment vertical="top"/>
    </xf>
    <xf numFmtId="0" fontId="7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/>
    </xf>
    <xf numFmtId="0" fontId="8" fillId="6" borderId="5" xfId="0" applyFont="1" applyFill="1" applyBorder="1" applyAlignment="1">
      <alignment horizontal="left" vertical="top"/>
    </xf>
    <xf numFmtId="0" fontId="8" fillId="6" borderId="6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8" fillId="10" borderId="10" xfId="0" applyFont="1" applyFill="1" applyBorder="1" applyAlignment="1">
      <alignment vertical="top"/>
    </xf>
    <xf numFmtId="0" fontId="5" fillId="10" borderId="6" xfId="0" applyFont="1" applyFill="1" applyBorder="1" applyAlignment="1">
      <alignment vertical="top"/>
    </xf>
    <xf numFmtId="0" fontId="4" fillId="10" borderId="1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3" fillId="7" borderId="1" xfId="0" applyFont="1" applyFill="1" applyBorder="1" applyAlignment="1">
      <alignment horizontal="center" vertical="top" wrapText="1"/>
    </xf>
    <xf numFmtId="0" fontId="5" fillId="7" borderId="6" xfId="0" applyFont="1" applyFill="1" applyBorder="1" applyAlignment="1">
      <alignment vertical="top"/>
    </xf>
    <xf numFmtId="0" fontId="4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/>
    </xf>
    <xf numFmtId="0" fontId="5" fillId="7" borderId="5" xfId="0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/>
    </xf>
    <xf numFmtId="0" fontId="16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20" fillId="2" borderId="7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vertical="top"/>
    </xf>
    <xf numFmtId="0" fontId="16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15" fillId="0" borderId="0" xfId="0" applyFont="1" applyAlignment="1">
      <alignment vertical="top"/>
    </xf>
    <xf numFmtId="0" fontId="16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horizontal="center" vertical="top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3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3" fillId="0" borderId="23" xfId="0" applyFont="1" applyBorder="1"/>
    <xf numFmtId="0" fontId="3" fillId="0" borderId="24" xfId="0" applyFont="1" applyBorder="1"/>
    <xf numFmtId="0" fontId="7" fillId="7" borderId="1" xfId="0" applyFont="1" applyFill="1" applyBorder="1" applyAlignment="1">
      <alignment vertical="top" wrapText="1"/>
    </xf>
    <xf numFmtId="14" fontId="3" fillId="0" borderId="0" xfId="0" applyNumberFormat="1" applyFont="1"/>
    <xf numFmtId="1" fontId="3" fillId="0" borderId="0" xfId="0" applyNumberFormat="1" applyFont="1"/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65" fontId="27" fillId="0" borderId="0" xfId="0" applyNumberFormat="1" applyFont="1" applyAlignment="1">
      <alignment vertical="center"/>
    </xf>
    <xf numFmtId="0" fontId="10" fillId="10" borderId="0" xfId="0" applyFont="1" applyFill="1"/>
    <xf numFmtId="0" fontId="0" fillId="10" borderId="0" xfId="0" applyFill="1"/>
    <xf numFmtId="0" fontId="12" fillId="0" borderId="0" xfId="0" applyFont="1"/>
    <xf numFmtId="0" fontId="7" fillId="5" borderId="7" xfId="0" applyFont="1" applyFill="1" applyBorder="1" applyAlignment="1">
      <alignment horizontal="left" vertical="top" wrapText="1"/>
    </xf>
    <xf numFmtId="0" fontId="7" fillId="5" borderId="9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8" fillId="5" borderId="3" xfId="0" applyFont="1" applyFill="1" applyBorder="1" applyAlignment="1">
      <alignment horizontal="left" vertical="top" wrapText="1"/>
    </xf>
    <xf numFmtId="0" fontId="8" fillId="5" borderId="12" xfId="0" applyFont="1" applyFill="1" applyBorder="1" applyAlignment="1">
      <alignment horizontal="left" vertical="top" wrapText="1"/>
    </xf>
    <xf numFmtId="0" fontId="8" fillId="5" borderId="14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8" fillId="4" borderId="7" xfId="0" applyFont="1" applyFill="1" applyBorder="1" applyAlignment="1">
      <alignment horizontal="left" vertical="top" wrapText="1"/>
    </xf>
    <xf numFmtId="0" fontId="8" fillId="4" borderId="8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  <xf numFmtId="0" fontId="7" fillId="4" borderId="8" xfId="0" applyFont="1" applyFill="1" applyBorder="1" applyAlignment="1">
      <alignment horizontal="left" vertical="top" wrapText="1"/>
    </xf>
    <xf numFmtId="0" fontId="8" fillId="8" borderId="10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7" fillId="8" borderId="7" xfId="0" applyFont="1" applyFill="1" applyBorder="1" applyAlignment="1">
      <alignment horizontal="left" vertical="top" wrapText="1"/>
    </xf>
    <xf numFmtId="0" fontId="7" fillId="8" borderId="8" xfId="0" applyFont="1" applyFill="1" applyBorder="1" applyAlignment="1">
      <alignment horizontal="left" vertical="top" wrapText="1"/>
    </xf>
    <xf numFmtId="0" fontId="7" fillId="8" borderId="9" xfId="0" applyFont="1" applyFill="1" applyBorder="1" applyAlignment="1">
      <alignment horizontal="left" vertical="top" wrapText="1"/>
    </xf>
    <xf numFmtId="0" fontId="17" fillId="4" borderId="2" xfId="0" applyFont="1" applyFill="1" applyBorder="1" applyAlignment="1">
      <alignment horizontal="left" vertical="top"/>
    </xf>
    <xf numFmtId="0" fontId="17" fillId="4" borderId="4" xfId="0" applyFont="1" applyFill="1" applyBorder="1" applyAlignment="1">
      <alignment horizontal="left" vertical="top"/>
    </xf>
    <xf numFmtId="0" fontId="17" fillId="4" borderId="12" xfId="0" applyFont="1" applyFill="1" applyBorder="1" applyAlignment="1">
      <alignment horizontal="left" vertical="top"/>
    </xf>
    <xf numFmtId="0" fontId="8" fillId="4" borderId="7" xfId="0" applyFont="1" applyFill="1" applyBorder="1" applyAlignment="1">
      <alignment horizontal="left" vertical="top"/>
    </xf>
    <xf numFmtId="0" fontId="8" fillId="4" borderId="9" xfId="0" applyFont="1" applyFill="1" applyBorder="1" applyAlignment="1">
      <alignment horizontal="left" vertical="top"/>
    </xf>
    <xf numFmtId="0" fontId="2" fillId="4" borderId="7" xfId="0" applyFont="1" applyFill="1" applyBorder="1" applyAlignment="1">
      <alignment horizontal="left" vertical="top"/>
    </xf>
    <xf numFmtId="0" fontId="2" fillId="4" borderId="9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17" fillId="0" borderId="8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2" fillId="6" borderId="12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8" fillId="10" borderId="5" xfId="0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top"/>
    </xf>
    <xf numFmtId="0" fontId="8" fillId="5" borderId="6" xfId="0" applyFont="1" applyFill="1" applyBorder="1" applyAlignment="1">
      <alignment horizontal="left" vertical="top"/>
    </xf>
    <xf numFmtId="0" fontId="17" fillId="10" borderId="7" xfId="0" applyFont="1" applyFill="1" applyBorder="1" applyAlignment="1">
      <alignment horizontal="left" vertical="top"/>
    </xf>
    <xf numFmtId="0" fontId="17" fillId="10" borderId="9" xfId="0" applyFont="1" applyFill="1" applyBorder="1" applyAlignment="1">
      <alignment horizontal="left" vertical="top"/>
    </xf>
    <xf numFmtId="0" fontId="17" fillId="6" borderId="1" xfId="0" applyFont="1" applyFill="1" applyBorder="1" applyAlignment="1">
      <alignment horizontal="left" vertical="top"/>
    </xf>
    <xf numFmtId="0" fontId="8" fillId="6" borderId="5" xfId="0" applyFont="1" applyFill="1" applyBorder="1" applyAlignment="1">
      <alignment horizontal="left" vertical="top"/>
    </xf>
    <xf numFmtId="0" fontId="8" fillId="6" borderId="6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6" borderId="6" xfId="0" applyFont="1" applyFill="1" applyBorder="1" applyAlignment="1">
      <alignment horizontal="left" vertical="top"/>
    </xf>
    <xf numFmtId="0" fontId="2" fillId="5" borderId="5" xfId="0" applyFont="1" applyFill="1" applyBorder="1" applyAlignment="1">
      <alignment vertical="top"/>
    </xf>
    <xf numFmtId="0" fontId="2" fillId="5" borderId="6" xfId="0" applyFont="1" applyFill="1" applyBorder="1" applyAlignment="1">
      <alignment vertical="top"/>
    </xf>
    <xf numFmtId="0" fontId="17" fillId="5" borderId="7" xfId="0" applyFont="1" applyFill="1" applyBorder="1" applyAlignment="1">
      <alignment horizontal="left" vertical="top"/>
    </xf>
    <xf numFmtId="0" fontId="17" fillId="5" borderId="8" xfId="0" applyFont="1" applyFill="1" applyBorder="1" applyAlignment="1">
      <alignment horizontal="left" vertical="top"/>
    </xf>
    <xf numFmtId="0" fontId="17" fillId="5" borderId="9" xfId="0" applyFont="1" applyFill="1" applyBorder="1" applyAlignment="1">
      <alignment horizontal="left" vertical="top"/>
    </xf>
    <xf numFmtId="0" fontId="7" fillId="4" borderId="7" xfId="0" applyFont="1" applyFill="1" applyBorder="1" applyAlignment="1">
      <alignment horizontal="center" vertical="top" wrapText="1"/>
    </xf>
    <xf numFmtId="0" fontId="7" fillId="4" borderId="9" xfId="0" applyFont="1" applyFill="1" applyBorder="1" applyAlignment="1">
      <alignment horizontal="center" vertical="top" wrapText="1"/>
    </xf>
    <xf numFmtId="0" fontId="7" fillId="4" borderId="7" xfId="0" applyFont="1" applyFill="1" applyBorder="1" applyAlignment="1">
      <alignment horizontal="center" vertical="top"/>
    </xf>
    <xf numFmtId="0" fontId="7" fillId="4" borderId="9" xfId="0" applyFont="1" applyFill="1" applyBorder="1" applyAlignment="1">
      <alignment horizontal="center" vertical="top"/>
    </xf>
    <xf numFmtId="0" fontId="17" fillId="2" borderId="2" xfId="0" applyFont="1" applyFill="1" applyBorder="1" applyAlignment="1">
      <alignment horizontal="left" vertical="top" wrapText="1"/>
    </xf>
    <xf numFmtId="0" fontId="17" fillId="2" borderId="11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17" fillId="2" borderId="0" xfId="0" applyFont="1" applyFill="1" applyAlignment="1">
      <alignment horizontal="left" vertical="top" wrapText="1"/>
    </xf>
    <xf numFmtId="0" fontId="17" fillId="2" borderId="12" xfId="0" applyFont="1" applyFill="1" applyBorder="1" applyAlignment="1">
      <alignment horizontal="left" vertical="top" wrapText="1"/>
    </xf>
    <xf numFmtId="0" fontId="17" fillId="2" borderId="13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/>
    </xf>
    <xf numFmtId="0" fontId="17" fillId="8" borderId="7" xfId="0" applyFont="1" applyFill="1" applyBorder="1" applyAlignment="1">
      <alignment horizontal="left" vertical="top" wrapText="1"/>
    </xf>
    <xf numFmtId="0" fontId="17" fillId="8" borderId="8" xfId="0" applyFont="1" applyFill="1" applyBorder="1" applyAlignment="1">
      <alignment horizontal="left" vertical="top" wrapText="1"/>
    </xf>
    <xf numFmtId="0" fontId="17" fillId="8" borderId="9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vertical="top"/>
    </xf>
    <xf numFmtId="0" fontId="2" fillId="4" borderId="8" xfId="0" applyFont="1" applyFill="1" applyBorder="1" applyAlignment="1">
      <alignment vertical="top"/>
    </xf>
    <xf numFmtId="0" fontId="2" fillId="4" borderId="9" xfId="0" applyFont="1" applyFill="1" applyBorder="1" applyAlignment="1">
      <alignment vertical="top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10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left" vertical="center" wrapText="1"/>
    </xf>
    <xf numFmtId="0" fontId="8" fillId="5" borderId="14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/>
    </xf>
    <xf numFmtId="0" fontId="18" fillId="7" borderId="7" xfId="0" applyFont="1" applyFill="1" applyBorder="1" applyAlignment="1">
      <alignment vertical="top"/>
    </xf>
    <xf numFmtId="0" fontId="18" fillId="7" borderId="8" xfId="0" applyFont="1" applyFill="1" applyBorder="1" applyAlignment="1">
      <alignment vertical="top"/>
    </xf>
    <xf numFmtId="0" fontId="18" fillId="7" borderId="9" xfId="0" applyFont="1" applyFill="1" applyBorder="1" applyAlignment="1">
      <alignment vertical="top"/>
    </xf>
    <xf numFmtId="0" fontId="2" fillId="5" borderId="5" xfId="0" applyFont="1" applyFill="1" applyBorder="1" applyAlignment="1">
      <alignment vertical="top" wrapText="1"/>
    </xf>
    <xf numFmtId="0" fontId="2" fillId="5" borderId="6" xfId="0" applyFont="1" applyFill="1" applyBorder="1" applyAlignment="1">
      <alignment vertical="top" wrapText="1"/>
    </xf>
    <xf numFmtId="0" fontId="2" fillId="7" borderId="2" xfId="0" applyFont="1" applyFill="1" applyBorder="1" applyAlignment="1">
      <alignment horizontal="left" vertical="top"/>
    </xf>
    <xf numFmtId="0" fontId="2" fillId="7" borderId="3" xfId="0" applyFont="1" applyFill="1" applyBorder="1" applyAlignment="1">
      <alignment horizontal="left" vertical="top"/>
    </xf>
    <xf numFmtId="0" fontId="2" fillId="7" borderId="4" xfId="0" applyFont="1" applyFill="1" applyBorder="1" applyAlignment="1">
      <alignment horizontal="left" vertical="top"/>
    </xf>
    <xf numFmtId="0" fontId="2" fillId="7" borderId="15" xfId="0" applyFont="1" applyFill="1" applyBorder="1" applyAlignment="1">
      <alignment horizontal="left" vertical="top"/>
    </xf>
    <xf numFmtId="0" fontId="2" fillId="7" borderId="12" xfId="0" applyFont="1" applyFill="1" applyBorder="1" applyAlignment="1">
      <alignment horizontal="left" vertical="top"/>
    </xf>
    <xf numFmtId="0" fontId="2" fillId="7" borderId="14" xfId="0" applyFont="1" applyFill="1" applyBorder="1" applyAlignment="1">
      <alignment horizontal="left" vertical="top"/>
    </xf>
    <xf numFmtId="0" fontId="18" fillId="4" borderId="2" xfId="0" applyFont="1" applyFill="1" applyBorder="1" applyAlignment="1">
      <alignment horizontal="left" vertical="top"/>
    </xf>
    <xf numFmtId="0" fontId="18" fillId="4" borderId="4" xfId="0" applyFont="1" applyFill="1" applyBorder="1" applyAlignment="1">
      <alignment horizontal="left" vertical="top"/>
    </xf>
    <xf numFmtId="0" fontId="18" fillId="4" borderId="12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 wrapText="1"/>
    </xf>
    <xf numFmtId="0" fontId="18" fillId="5" borderId="8" xfId="0" applyFont="1" applyFill="1" applyBorder="1" applyAlignment="1">
      <alignment horizontal="left" vertical="top"/>
    </xf>
    <xf numFmtId="0" fontId="18" fillId="5" borderId="9" xfId="0" applyFont="1" applyFill="1" applyBorder="1" applyAlignment="1">
      <alignment horizontal="left" vertical="top"/>
    </xf>
    <xf numFmtId="0" fontId="18" fillId="9" borderId="7" xfId="0" applyFont="1" applyFill="1" applyBorder="1" applyAlignment="1">
      <alignment vertical="top"/>
    </xf>
    <xf numFmtId="0" fontId="18" fillId="9" borderId="8" xfId="0" applyFont="1" applyFill="1" applyBorder="1" applyAlignment="1">
      <alignment vertical="top"/>
    </xf>
    <xf numFmtId="0" fontId="18" fillId="9" borderId="9" xfId="0" applyFont="1" applyFill="1" applyBorder="1" applyAlignment="1">
      <alignment vertical="top"/>
    </xf>
    <xf numFmtId="0" fontId="18" fillId="6" borderId="8" xfId="0" applyFont="1" applyFill="1" applyBorder="1" applyAlignment="1">
      <alignment horizontal="left" vertical="top"/>
    </xf>
    <xf numFmtId="0" fontId="2" fillId="9" borderId="2" xfId="0" applyFont="1" applyFill="1" applyBorder="1" applyAlignment="1">
      <alignment horizontal="left" vertical="top"/>
    </xf>
    <xf numFmtId="0" fontId="2" fillId="9" borderId="3" xfId="0" applyFont="1" applyFill="1" applyBorder="1" applyAlignment="1">
      <alignment horizontal="left" vertical="top"/>
    </xf>
    <xf numFmtId="0" fontId="2" fillId="9" borderId="12" xfId="0" applyFont="1" applyFill="1" applyBorder="1" applyAlignment="1">
      <alignment horizontal="left" vertical="top"/>
    </xf>
    <xf numFmtId="0" fontId="2" fillId="9" borderId="14" xfId="0" applyFont="1" applyFill="1" applyBorder="1" applyAlignment="1">
      <alignment horizontal="left" vertical="top"/>
    </xf>
    <xf numFmtId="0" fontId="3" fillId="7" borderId="7" xfId="0" applyFont="1" applyFill="1" applyBorder="1" applyAlignment="1">
      <alignment horizontal="center" vertical="top"/>
    </xf>
    <xf numFmtId="0" fontId="3" fillId="7" borderId="9" xfId="0" applyFont="1" applyFill="1" applyBorder="1" applyAlignment="1">
      <alignment horizontal="center" vertical="top"/>
    </xf>
    <xf numFmtId="0" fontId="3" fillId="7" borderId="7" xfId="0" applyFont="1" applyFill="1" applyBorder="1" applyAlignment="1">
      <alignment horizontal="left" vertical="top" wrapText="1"/>
    </xf>
    <xf numFmtId="0" fontId="3" fillId="7" borderId="9" xfId="0" applyFont="1" applyFill="1" applyBorder="1" applyAlignment="1">
      <alignment horizontal="left" vertical="top" wrapText="1"/>
    </xf>
    <xf numFmtId="0" fontId="3" fillId="7" borderId="7" xfId="0" applyFont="1" applyFill="1" applyBorder="1" applyAlignment="1">
      <alignment vertical="top" wrapText="1"/>
    </xf>
    <xf numFmtId="0" fontId="3" fillId="7" borderId="9" xfId="0" applyFont="1" applyFill="1" applyBorder="1" applyAlignment="1">
      <alignment vertical="top" wrapText="1"/>
    </xf>
    <xf numFmtId="0" fontId="7" fillId="7" borderId="7" xfId="0" applyFont="1" applyFill="1" applyBorder="1" applyAlignment="1">
      <alignment horizontal="left" vertical="top" wrapText="1"/>
    </xf>
    <xf numFmtId="0" fontId="7" fillId="7" borderId="9" xfId="0" applyFont="1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left" vertical="top" wrapText="1"/>
    </xf>
    <xf numFmtId="0" fontId="13" fillId="8" borderId="10" xfId="0" applyFont="1" applyFill="1" applyBorder="1" applyAlignment="1">
      <alignment horizontal="left" vertical="center" wrapText="1"/>
    </xf>
    <xf numFmtId="0" fontId="13" fillId="8" borderId="6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17" fillId="2" borderId="12" xfId="0" applyFont="1" applyFill="1" applyBorder="1" applyAlignment="1">
      <alignment horizontal="left" vertical="center" wrapText="1"/>
    </xf>
    <xf numFmtId="0" fontId="17" fillId="2" borderId="13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top" wrapText="1"/>
    </xf>
    <xf numFmtId="0" fontId="17" fillId="4" borderId="1" xfId="0" applyFont="1" applyFill="1" applyBorder="1" applyAlignment="1">
      <alignment horizontal="left" vertical="top"/>
    </xf>
    <xf numFmtId="0" fontId="18" fillId="8" borderId="7" xfId="0" applyFont="1" applyFill="1" applyBorder="1" applyAlignment="1">
      <alignment horizontal="left" vertical="center" wrapText="1"/>
    </xf>
    <xf numFmtId="0" fontId="18" fillId="8" borderId="8" xfId="0" applyFont="1" applyFill="1" applyBorder="1" applyAlignment="1">
      <alignment horizontal="left" vertical="center" wrapText="1"/>
    </xf>
    <xf numFmtId="0" fontId="18" fillId="8" borderId="9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vertical="center"/>
    </xf>
    <xf numFmtId="0" fontId="15" fillId="7" borderId="8" xfId="0" applyFont="1" applyFill="1" applyBorder="1" applyAlignment="1">
      <alignment vertical="center"/>
    </xf>
    <xf numFmtId="0" fontId="2" fillId="7" borderId="5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0" fontId="17" fillId="10" borderId="7" xfId="0" applyFont="1" applyFill="1" applyBorder="1" applyAlignment="1">
      <alignment horizontal="left" vertical="center"/>
    </xf>
    <xf numFmtId="0" fontId="17" fillId="10" borderId="8" xfId="0" applyFont="1" applyFill="1" applyBorder="1" applyAlignment="1">
      <alignment horizontal="left" vertical="center"/>
    </xf>
    <xf numFmtId="0" fontId="17" fillId="10" borderId="9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left" vertical="center"/>
    </xf>
    <xf numFmtId="0" fontId="8" fillId="10" borderId="9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11" fillId="8" borderId="10" xfId="0" applyFont="1" applyFill="1" applyBorder="1" applyAlignment="1">
      <alignment horizontal="left" vertical="center" wrapText="1"/>
    </xf>
    <xf numFmtId="0" fontId="11" fillId="8" borderId="6" xfId="0" applyFont="1" applyFill="1" applyBorder="1" applyAlignment="1">
      <alignment horizontal="left" vertical="center" wrapText="1"/>
    </xf>
    <xf numFmtId="0" fontId="15" fillId="4" borderId="7" xfId="0" applyFont="1" applyFill="1" applyBorder="1" applyAlignment="1">
      <alignment vertical="top"/>
    </xf>
    <xf numFmtId="0" fontId="15" fillId="4" borderId="8" xfId="0" applyFont="1" applyFill="1" applyBorder="1" applyAlignment="1">
      <alignment vertical="top"/>
    </xf>
    <xf numFmtId="0" fontId="15" fillId="4" borderId="9" xfId="0" applyFont="1" applyFill="1" applyBorder="1" applyAlignment="1">
      <alignment vertical="top"/>
    </xf>
    <xf numFmtId="0" fontId="17" fillId="4" borderId="7" xfId="0" applyFont="1" applyFill="1" applyBorder="1" applyAlignment="1">
      <alignment horizontal="left" vertical="center"/>
    </xf>
    <xf numFmtId="0" fontId="17" fillId="4" borderId="8" xfId="0" applyFont="1" applyFill="1" applyBorder="1" applyAlignment="1">
      <alignment horizontal="left" vertical="center"/>
    </xf>
    <xf numFmtId="0" fontId="17" fillId="4" borderId="9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vertical="top"/>
    </xf>
    <xf numFmtId="0" fontId="17" fillId="8" borderId="7" xfId="0" applyFont="1" applyFill="1" applyBorder="1" applyAlignment="1">
      <alignment horizontal="left" vertical="center" wrapText="1"/>
    </xf>
    <xf numFmtId="0" fontId="17" fillId="8" borderId="8" xfId="0" applyFont="1" applyFill="1" applyBorder="1" applyAlignment="1">
      <alignment horizontal="left" vertical="center" wrapText="1"/>
    </xf>
    <xf numFmtId="0" fontId="17" fillId="8" borderId="9" xfId="0" applyFont="1" applyFill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 indent="1"/>
    </xf>
  </cellXfs>
  <cellStyles count="3">
    <cellStyle name="Ezres" xfId="2" builtinId="3"/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13854</xdr:colOff>
      <xdr:row>13</xdr:row>
      <xdr:rowOff>20782</xdr:rowOff>
    </xdr:from>
    <xdr:to>
      <xdr:col>4</xdr:col>
      <xdr:colOff>247919</xdr:colOff>
      <xdr:row>22</xdr:row>
      <xdr:rowOff>78155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9AE1DCE-8A77-C63C-0B69-0049F79C6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3490" y="2182091"/>
          <a:ext cx="1924319" cy="1553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6C34-FFB5-401F-95A6-EC7325FA646B}">
  <dimension ref="A1:A25"/>
  <sheetViews>
    <sheetView tabSelected="1" topLeftCell="A7" workbookViewId="0">
      <selection activeCell="A11" sqref="A11"/>
    </sheetView>
  </sheetViews>
  <sheetFormatPr defaultRowHeight="15" x14ac:dyDescent="0.25"/>
  <cols>
    <col min="1" max="1" width="80" customWidth="1"/>
  </cols>
  <sheetData>
    <row r="1" spans="1:1" ht="30" x14ac:dyDescent="0.25">
      <c r="A1" s="366" t="s">
        <v>1016</v>
      </c>
    </row>
    <row r="2" spans="1:1" x14ac:dyDescent="0.25">
      <c r="A2" s="366"/>
    </row>
    <row r="3" spans="1:1" ht="375" x14ac:dyDescent="0.25">
      <c r="A3" s="366" t="s">
        <v>1017</v>
      </c>
    </row>
    <row r="4" spans="1:1" ht="390" x14ac:dyDescent="0.25">
      <c r="A4" s="366" t="s">
        <v>1018</v>
      </c>
    </row>
    <row r="5" spans="1:1" ht="409.5" x14ac:dyDescent="0.25">
      <c r="A5" s="366" t="s">
        <v>1019</v>
      </c>
    </row>
    <row r="6" spans="1:1" ht="409.5" x14ac:dyDescent="0.25">
      <c r="A6" s="366" t="s">
        <v>1020</v>
      </c>
    </row>
    <row r="7" spans="1:1" ht="390" x14ac:dyDescent="0.25">
      <c r="A7" s="366" t="s">
        <v>1021</v>
      </c>
    </row>
    <row r="8" spans="1:1" x14ac:dyDescent="0.25">
      <c r="A8" s="366"/>
    </row>
    <row r="9" spans="1:1" ht="45" x14ac:dyDescent="0.25">
      <c r="A9" s="366" t="s">
        <v>1022</v>
      </c>
    </row>
    <row r="10" spans="1:1" x14ac:dyDescent="0.25">
      <c r="A10" s="366" t="s">
        <v>1023</v>
      </c>
    </row>
    <row r="11" spans="1:1" x14ac:dyDescent="0.25">
      <c r="A11" s="366" t="s">
        <v>1038</v>
      </c>
    </row>
    <row r="12" spans="1:1" ht="15.75" x14ac:dyDescent="0.25">
      <c r="A12" s="367" t="s">
        <v>1024</v>
      </c>
    </row>
    <row r="13" spans="1:1" ht="15.75" x14ac:dyDescent="0.25">
      <c r="A13" s="367" t="s">
        <v>1025</v>
      </c>
    </row>
    <row r="14" spans="1:1" ht="15.75" x14ac:dyDescent="0.25">
      <c r="A14" s="367" t="s">
        <v>1026</v>
      </c>
    </row>
    <row r="15" spans="1:1" ht="15.75" x14ac:dyDescent="0.25">
      <c r="A15" s="367" t="s">
        <v>1027</v>
      </c>
    </row>
    <row r="16" spans="1:1" ht="15.75" x14ac:dyDescent="0.25">
      <c r="A16" s="367" t="s">
        <v>1028</v>
      </c>
    </row>
    <row r="17" spans="1:1" ht="15.75" x14ac:dyDescent="0.25">
      <c r="A17" s="367" t="s">
        <v>1029</v>
      </c>
    </row>
    <row r="18" spans="1:1" ht="15.75" x14ac:dyDescent="0.25">
      <c r="A18" s="367" t="s">
        <v>1030</v>
      </c>
    </row>
    <row r="19" spans="1:1" ht="15.75" x14ac:dyDescent="0.25">
      <c r="A19" s="367" t="s">
        <v>1031</v>
      </c>
    </row>
    <row r="20" spans="1:1" ht="15.75" x14ac:dyDescent="0.25">
      <c r="A20" s="367" t="s">
        <v>1032</v>
      </c>
    </row>
    <row r="21" spans="1:1" ht="15.75" x14ac:dyDescent="0.25">
      <c r="A21" s="367" t="s">
        <v>1033</v>
      </c>
    </row>
    <row r="22" spans="1:1" ht="15.75" x14ac:dyDescent="0.25">
      <c r="A22" s="367" t="s">
        <v>1034</v>
      </c>
    </row>
    <row r="23" spans="1:1" ht="15.75" x14ac:dyDescent="0.25">
      <c r="A23" s="367" t="s">
        <v>1035</v>
      </c>
    </row>
    <row r="24" spans="1:1" ht="15.75" x14ac:dyDescent="0.25">
      <c r="A24" s="367" t="s">
        <v>1036</v>
      </c>
    </row>
    <row r="25" spans="1:1" ht="15.75" x14ac:dyDescent="0.25">
      <c r="A25" s="367" t="s">
        <v>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8C1-394A-44AC-ACB7-ED90621F795C}">
  <dimension ref="A1:L44"/>
  <sheetViews>
    <sheetView showGridLines="0" workbookViewId="0">
      <selection activeCell="B23" sqref="B23"/>
    </sheetView>
  </sheetViews>
  <sheetFormatPr defaultRowHeight="15" x14ac:dyDescent="0.25"/>
  <cols>
    <col min="1" max="1" width="27.28515625" bestFit="1" customWidth="1"/>
    <col min="2" max="2" width="44.28515625" customWidth="1"/>
  </cols>
  <sheetData>
    <row r="1" spans="1:12" x14ac:dyDescent="0.25">
      <c r="A1" s="35" t="s">
        <v>102</v>
      </c>
      <c r="B1" s="36"/>
    </row>
    <row r="2" spans="1:12" x14ac:dyDescent="0.25">
      <c r="A2" s="34">
        <v>1</v>
      </c>
      <c r="B2" s="33" t="s">
        <v>103</v>
      </c>
    </row>
    <row r="3" spans="1:12" x14ac:dyDescent="0.25">
      <c r="A3" s="34">
        <v>2</v>
      </c>
      <c r="B3" s="33" t="s">
        <v>104</v>
      </c>
    </row>
    <row r="4" spans="1:12" x14ac:dyDescent="0.25">
      <c r="A4" s="34">
        <v>3</v>
      </c>
      <c r="B4" s="33" t="s">
        <v>97</v>
      </c>
    </row>
    <row r="5" spans="1:12" x14ac:dyDescent="0.25">
      <c r="A5" s="34">
        <v>4</v>
      </c>
      <c r="B5" s="33" t="s">
        <v>105</v>
      </c>
    </row>
    <row r="6" spans="1:12" x14ac:dyDescent="0.25">
      <c r="A6" s="34">
        <v>5</v>
      </c>
      <c r="B6" s="33" t="s">
        <v>72</v>
      </c>
    </row>
    <row r="7" spans="1:12" x14ac:dyDescent="0.25">
      <c r="A7" s="34">
        <v>6</v>
      </c>
      <c r="B7" s="33" t="s">
        <v>106</v>
      </c>
    </row>
    <row r="8" spans="1:12" x14ac:dyDescent="0.25">
      <c r="A8" s="34">
        <v>7</v>
      </c>
      <c r="B8" s="33" t="s">
        <v>107</v>
      </c>
    </row>
    <row r="9" spans="1:12" x14ac:dyDescent="0.25">
      <c r="A9" s="34">
        <v>8</v>
      </c>
      <c r="B9" s="33" t="s">
        <v>108</v>
      </c>
    </row>
    <row r="12" spans="1:12" x14ac:dyDescent="0.25">
      <c r="A12" s="191" t="s">
        <v>958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</row>
    <row r="13" spans="1:12" x14ac:dyDescent="0.25">
      <c r="A13" s="188" t="s">
        <v>969</v>
      </c>
      <c r="B13" s="188"/>
    </row>
    <row r="14" spans="1:12" x14ac:dyDescent="0.25">
      <c r="A14" s="189" t="s">
        <v>970</v>
      </c>
      <c r="B14" s="189" t="s">
        <v>973</v>
      </c>
    </row>
    <row r="15" spans="1:12" x14ac:dyDescent="0.25">
      <c r="A15" s="189" t="s">
        <v>971</v>
      </c>
      <c r="B15" s="189" t="s">
        <v>974</v>
      </c>
    </row>
    <row r="16" spans="1:12" x14ac:dyDescent="0.25">
      <c r="A16" s="189" t="s">
        <v>972</v>
      </c>
      <c r="B16" s="189" t="s">
        <v>975</v>
      </c>
    </row>
    <row r="17" spans="1:2" x14ac:dyDescent="0.25">
      <c r="A17" s="189" t="s">
        <v>999</v>
      </c>
      <c r="B17" s="189" t="s">
        <v>1000</v>
      </c>
    </row>
    <row r="18" spans="1:2" x14ac:dyDescent="0.25">
      <c r="A18" s="188" t="s">
        <v>976</v>
      </c>
      <c r="B18" s="189" t="s">
        <v>959</v>
      </c>
    </row>
    <row r="19" spans="1:2" x14ac:dyDescent="0.25">
      <c r="B19" s="189" t="s">
        <v>960</v>
      </c>
    </row>
    <row r="20" spans="1:2" x14ac:dyDescent="0.25">
      <c r="B20" s="189" t="s">
        <v>961</v>
      </c>
    </row>
    <row r="21" spans="1:2" x14ac:dyDescent="0.25">
      <c r="A21" s="189"/>
      <c r="B21" s="189"/>
    </row>
    <row r="22" spans="1:2" x14ac:dyDescent="0.25">
      <c r="A22" s="188" t="s">
        <v>979</v>
      </c>
      <c r="B22" s="189"/>
    </row>
    <row r="23" spans="1:2" x14ac:dyDescent="0.25">
      <c r="A23" s="189" t="s">
        <v>977</v>
      </c>
      <c r="B23" s="189" t="s">
        <v>981</v>
      </c>
    </row>
    <row r="24" spans="1:2" x14ac:dyDescent="0.25">
      <c r="A24" s="189" t="s">
        <v>978</v>
      </c>
      <c r="B24" s="189" t="s">
        <v>982</v>
      </c>
    </row>
    <row r="25" spans="1:2" x14ac:dyDescent="0.25">
      <c r="A25" s="189" t="s">
        <v>980</v>
      </c>
      <c r="B25" s="189" t="s">
        <v>983</v>
      </c>
    </row>
    <row r="26" spans="1:2" x14ac:dyDescent="0.25">
      <c r="A26" s="189"/>
      <c r="B26" s="189"/>
    </row>
    <row r="27" spans="1:2" x14ac:dyDescent="0.25">
      <c r="A27" s="188" t="s">
        <v>984</v>
      </c>
      <c r="B27" s="189" t="s">
        <v>962</v>
      </c>
    </row>
    <row r="28" spans="1:2" x14ac:dyDescent="0.25">
      <c r="B28" s="189" t="s">
        <v>963</v>
      </c>
    </row>
    <row r="29" spans="1:2" x14ac:dyDescent="0.25">
      <c r="B29" s="189" t="s">
        <v>964</v>
      </c>
    </row>
    <row r="30" spans="1:2" x14ac:dyDescent="0.25">
      <c r="B30" s="189" t="s">
        <v>965</v>
      </c>
    </row>
    <row r="31" spans="1:2" x14ac:dyDescent="0.25">
      <c r="A31" s="189"/>
      <c r="B31" s="189"/>
    </row>
    <row r="32" spans="1:2" x14ac:dyDescent="0.25">
      <c r="A32" s="188" t="s">
        <v>985</v>
      </c>
      <c r="B32" s="189"/>
    </row>
    <row r="33" spans="1:2" x14ac:dyDescent="0.25">
      <c r="A33" s="189" t="s">
        <v>986</v>
      </c>
      <c r="B33" s="189" t="s">
        <v>989</v>
      </c>
    </row>
    <row r="34" spans="1:2" x14ac:dyDescent="0.25">
      <c r="A34" s="189" t="s">
        <v>987</v>
      </c>
      <c r="B34" s="190">
        <v>46159</v>
      </c>
    </row>
    <row r="35" spans="1:2" x14ac:dyDescent="0.25">
      <c r="A35" s="189" t="s">
        <v>988</v>
      </c>
      <c r="B35" s="190">
        <v>46205</v>
      </c>
    </row>
    <row r="36" spans="1:2" x14ac:dyDescent="0.25">
      <c r="A36" s="189"/>
      <c r="B36" s="189"/>
    </row>
    <row r="37" spans="1:2" x14ac:dyDescent="0.25">
      <c r="A37" s="188" t="s">
        <v>990</v>
      </c>
      <c r="B37" s="189" t="s">
        <v>966</v>
      </c>
    </row>
    <row r="38" spans="1:2" x14ac:dyDescent="0.25">
      <c r="B38" s="189" t="s">
        <v>967</v>
      </c>
    </row>
    <row r="39" spans="1:2" x14ac:dyDescent="0.25">
      <c r="B39" s="189" t="s">
        <v>968</v>
      </c>
    </row>
    <row r="42" spans="1:2" ht="15.75" x14ac:dyDescent="0.25">
      <c r="A42" s="187"/>
      <c r="B42" s="187"/>
    </row>
    <row r="43" spans="1:2" ht="15.75" x14ac:dyDescent="0.25">
      <c r="A43" s="187"/>
      <c r="B43" s="187"/>
    </row>
    <row r="44" spans="1:2" ht="15.75" x14ac:dyDescent="0.25">
      <c r="A44" s="187"/>
      <c r="B44" s="187"/>
    </row>
  </sheetData>
  <phoneticPr fontId="6" type="noConversion"/>
  <hyperlinks>
    <hyperlink ref="B2" location="Kvalitatív!A1" display="Kvalitatív" xr:uid="{C5BDF2F8-8BAD-4E6B-9FC0-CFC8408085BE}"/>
    <hyperlink ref="B3" location="Kvantitatív!A1" display="Kvantitatív" xr:uid="{D153ED1F-7707-48AA-B991-1F1A09B38749}"/>
    <hyperlink ref="B4" location="Másodelemzés!A1" display="Másodelemzés" xr:uid="{516B9B69-A642-4390-85FF-CA1EA13DBD76}"/>
    <hyperlink ref="B5" location="Insightment_Szemiotika!A1" display="Kulturális insightment (benne a Szemiotika)" xr:uid="{78455C5A-B683-4358-AA8C-B59F282A2618}"/>
    <hyperlink ref="B7" location="DESP_COCR_SUCL!A1" display="Design Sprint /Co-creation / Super Clinic" xr:uid="{97F17908-EE66-4B8B-9794-26F945C664EF}"/>
    <hyperlink ref="B8" location="TGI!A1" display="TGI" xr:uid="{06A131CF-E5B5-41FB-B421-FCB395E7129F}"/>
    <hyperlink ref="B9" location="Szoftver!A1" display="Szoftver (pl. WDBA)" xr:uid="{8EDA148B-BCC1-45B5-83CC-CFEB4EADFA58}"/>
    <hyperlink ref="B6" location="Tréning!A1" display="Tréning" xr:uid="{06F7D154-1AEB-4003-8EFD-B3A4F21B6175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A806-91DB-4653-96CD-C4C76A73B881}">
  <dimension ref="A1:Z16"/>
  <sheetViews>
    <sheetView zoomScale="110" zoomScaleNormal="110" workbookViewId="0">
      <selection activeCell="A4" sqref="A4"/>
    </sheetView>
  </sheetViews>
  <sheetFormatPr defaultColWidth="8.85546875" defaultRowHeight="12.75" x14ac:dyDescent="0.2"/>
  <cols>
    <col min="1" max="1" width="14.85546875" style="87" bestFit="1" customWidth="1"/>
    <col min="2" max="2" width="18" style="87" bestFit="1" customWidth="1"/>
    <col min="3" max="3" width="15.7109375" style="87" bestFit="1" customWidth="1"/>
    <col min="4" max="6" width="8.85546875" style="87"/>
    <col min="7" max="7" width="10.140625" style="87" bestFit="1" customWidth="1"/>
    <col min="8" max="19" width="8.85546875" style="87"/>
    <col min="20" max="20" width="24.7109375" style="87" bestFit="1" customWidth="1"/>
    <col min="21" max="16384" width="8.85546875" style="87"/>
  </cols>
  <sheetData>
    <row r="1" spans="1:26" s="88" customFormat="1" x14ac:dyDescent="0.2">
      <c r="A1" s="88" t="s">
        <v>235</v>
      </c>
      <c r="B1" s="88" t="s">
        <v>236</v>
      </c>
      <c r="C1" s="88" t="s">
        <v>237</v>
      </c>
      <c r="D1" s="88" t="s">
        <v>991</v>
      </c>
      <c r="R1" s="88" t="s">
        <v>227</v>
      </c>
      <c r="S1" s="88" t="s">
        <v>229</v>
      </c>
      <c r="T1" s="88" t="s">
        <v>239</v>
      </c>
      <c r="U1" s="88" t="s">
        <v>232</v>
      </c>
      <c r="V1" s="88" t="s">
        <v>234</v>
      </c>
      <c r="W1" s="88" t="s">
        <v>228</v>
      </c>
      <c r="X1" s="88" t="s">
        <v>231</v>
      </c>
      <c r="Y1" s="88" t="s">
        <v>233</v>
      </c>
      <c r="Z1" s="88" t="s">
        <v>993</v>
      </c>
    </row>
    <row r="2" spans="1:26" x14ac:dyDescent="0.2">
      <c r="A2" s="87" t="s">
        <v>227</v>
      </c>
      <c r="B2" s="87" t="s">
        <v>238</v>
      </c>
      <c r="C2" s="87" t="s">
        <v>307</v>
      </c>
      <c r="D2" s="87">
        <v>1</v>
      </c>
      <c r="R2" s="87" t="s">
        <v>300</v>
      </c>
      <c r="S2" s="87" t="s">
        <v>272</v>
      </c>
      <c r="T2" s="87" t="s">
        <v>1014</v>
      </c>
      <c r="U2" s="87" t="s">
        <v>275</v>
      </c>
      <c r="V2" s="87" t="s">
        <v>279</v>
      </c>
      <c r="W2" s="87" t="s">
        <v>79</v>
      </c>
      <c r="X2" s="87" t="s">
        <v>297</v>
      </c>
      <c r="Y2" s="90">
        <v>0.1</v>
      </c>
      <c r="Z2" s="87" t="s">
        <v>996</v>
      </c>
    </row>
    <row r="3" spans="1:26" x14ac:dyDescent="0.2">
      <c r="A3" s="87" t="s">
        <v>229</v>
      </c>
      <c r="B3" s="87" t="s">
        <v>238</v>
      </c>
      <c r="C3" s="87" t="s">
        <v>274</v>
      </c>
      <c r="D3" s="87">
        <v>1</v>
      </c>
      <c r="R3" s="87" t="s">
        <v>301</v>
      </c>
      <c r="S3" s="87" t="s">
        <v>230</v>
      </c>
      <c r="T3" s="87" t="s">
        <v>1015</v>
      </c>
      <c r="U3" s="87" t="s">
        <v>276</v>
      </c>
      <c r="V3" s="87" t="s">
        <v>163</v>
      </c>
      <c r="W3" s="87" t="s">
        <v>280</v>
      </c>
      <c r="X3" s="87" t="s">
        <v>288</v>
      </c>
      <c r="Y3" s="90">
        <v>0.2</v>
      </c>
      <c r="Z3" s="87" t="s">
        <v>994</v>
      </c>
    </row>
    <row r="4" spans="1:26" x14ac:dyDescent="0.2">
      <c r="A4" s="87" t="s">
        <v>239</v>
      </c>
      <c r="B4" s="87" t="s">
        <v>238</v>
      </c>
      <c r="C4" s="87" t="s">
        <v>245</v>
      </c>
      <c r="D4" s="87">
        <v>1</v>
      </c>
      <c r="R4" s="87" t="s">
        <v>302</v>
      </c>
      <c r="S4" s="87" t="s">
        <v>273</v>
      </c>
      <c r="T4" s="87" t="s">
        <v>1011</v>
      </c>
      <c r="U4" s="87" t="s">
        <v>277</v>
      </c>
      <c r="W4" s="87" t="s">
        <v>281</v>
      </c>
      <c r="X4" s="87" t="s">
        <v>287</v>
      </c>
      <c r="Y4" s="90">
        <v>0.3</v>
      </c>
      <c r="Z4" s="87" t="s">
        <v>995</v>
      </c>
    </row>
    <row r="5" spans="1:26" x14ac:dyDescent="0.2">
      <c r="A5" s="87" t="s">
        <v>232</v>
      </c>
      <c r="B5" s="87" t="s">
        <v>238</v>
      </c>
      <c r="C5" s="87" t="s">
        <v>275</v>
      </c>
      <c r="D5" s="87">
        <v>1</v>
      </c>
      <c r="R5" s="87" t="s">
        <v>303</v>
      </c>
      <c r="S5" s="87" t="s">
        <v>274</v>
      </c>
      <c r="T5" s="87" t="s">
        <v>1006</v>
      </c>
      <c r="U5" s="87" t="s">
        <v>278</v>
      </c>
      <c r="W5" s="87" t="s">
        <v>282</v>
      </c>
      <c r="X5" s="87" t="s">
        <v>299</v>
      </c>
      <c r="Y5" s="90">
        <v>0.4</v>
      </c>
    </row>
    <row r="6" spans="1:26" x14ac:dyDescent="0.2">
      <c r="A6" s="87" t="s">
        <v>234</v>
      </c>
      <c r="B6" s="87" t="s">
        <v>238</v>
      </c>
      <c r="C6" s="87" t="s">
        <v>163</v>
      </c>
      <c r="D6" s="87">
        <v>1</v>
      </c>
      <c r="R6" s="87" t="s">
        <v>304</v>
      </c>
      <c r="T6" s="87" t="s">
        <v>1002</v>
      </c>
      <c r="W6" s="87" t="s">
        <v>283</v>
      </c>
      <c r="X6" s="87" t="s">
        <v>289</v>
      </c>
      <c r="Y6" s="90">
        <v>0.5</v>
      </c>
    </row>
    <row r="7" spans="1:26" x14ac:dyDescent="0.2">
      <c r="A7" s="87" t="s">
        <v>228</v>
      </c>
      <c r="B7" s="87" t="s">
        <v>238</v>
      </c>
      <c r="C7" s="87" t="s">
        <v>280</v>
      </c>
      <c r="D7" s="87">
        <v>1</v>
      </c>
      <c r="R7" s="87" t="s">
        <v>305</v>
      </c>
      <c r="T7" s="87" t="s">
        <v>1003</v>
      </c>
      <c r="W7" s="87" t="s">
        <v>284</v>
      </c>
      <c r="X7" s="87" t="s">
        <v>290</v>
      </c>
      <c r="Y7" s="90">
        <v>0.6</v>
      </c>
    </row>
    <row r="8" spans="1:26" x14ac:dyDescent="0.2">
      <c r="A8" s="87" t="s">
        <v>231</v>
      </c>
      <c r="B8" s="87" t="s">
        <v>238</v>
      </c>
      <c r="C8" s="87" t="s">
        <v>294</v>
      </c>
      <c r="D8" s="87">
        <v>1</v>
      </c>
      <c r="R8" s="87" t="s">
        <v>306</v>
      </c>
      <c r="T8" s="87" t="s">
        <v>1004</v>
      </c>
      <c r="W8" s="87" t="s">
        <v>285</v>
      </c>
      <c r="X8" s="87" t="s">
        <v>291</v>
      </c>
      <c r="Y8" s="90">
        <v>0.7</v>
      </c>
    </row>
    <row r="9" spans="1:26" x14ac:dyDescent="0.2">
      <c r="A9" s="87" t="s">
        <v>233</v>
      </c>
      <c r="B9" s="87" t="s">
        <v>238</v>
      </c>
      <c r="C9" s="87">
        <v>0.7</v>
      </c>
      <c r="D9" s="87">
        <v>1</v>
      </c>
      <c r="G9" s="90"/>
      <c r="R9" s="87" t="s">
        <v>307</v>
      </c>
      <c r="T9" s="87" t="s">
        <v>1005</v>
      </c>
      <c r="W9" s="87" t="s">
        <v>286</v>
      </c>
      <c r="X9" s="87" t="s">
        <v>292</v>
      </c>
      <c r="Y9" s="90">
        <v>0.8</v>
      </c>
    </row>
    <row r="10" spans="1:26" x14ac:dyDescent="0.2">
      <c r="A10" s="87" t="s">
        <v>992</v>
      </c>
      <c r="B10" s="87" t="s">
        <v>238</v>
      </c>
      <c r="C10" s="87" t="s">
        <v>994</v>
      </c>
      <c r="D10" s="87">
        <v>1</v>
      </c>
      <c r="R10" s="87" t="s">
        <v>308</v>
      </c>
      <c r="T10" s="87" t="s">
        <v>1007</v>
      </c>
      <c r="W10" s="87" t="s">
        <v>107</v>
      </c>
      <c r="X10" s="87" t="s">
        <v>293</v>
      </c>
      <c r="Y10" s="90">
        <v>0.9</v>
      </c>
    </row>
    <row r="11" spans="1:26" x14ac:dyDescent="0.2">
      <c r="A11" s="87" t="s">
        <v>997</v>
      </c>
      <c r="B11" s="87" t="s">
        <v>317</v>
      </c>
      <c r="C11" s="87">
        <v>1</v>
      </c>
      <c r="D11" s="87">
        <v>1</v>
      </c>
      <c r="F11" s="87" t="s">
        <v>998</v>
      </c>
      <c r="G11" s="186"/>
      <c r="R11" s="87" t="s">
        <v>309</v>
      </c>
      <c r="T11" s="87" t="s">
        <v>1008</v>
      </c>
      <c r="W11" s="87" t="s">
        <v>9</v>
      </c>
      <c r="X11" s="87" t="s">
        <v>298</v>
      </c>
      <c r="Y11" s="90">
        <v>1</v>
      </c>
    </row>
    <row r="12" spans="1:26" x14ac:dyDescent="0.2">
      <c r="A12" s="193" t="s">
        <v>244</v>
      </c>
      <c r="B12" s="193" t="s">
        <v>316</v>
      </c>
      <c r="C12" s="193" t="s">
        <v>315</v>
      </c>
      <c r="D12" s="87">
        <v>3</v>
      </c>
      <c r="G12" s="185"/>
      <c r="R12" s="87" t="s">
        <v>310</v>
      </c>
      <c r="T12" s="87" t="s">
        <v>1009</v>
      </c>
      <c r="X12" s="87" t="s">
        <v>294</v>
      </c>
    </row>
    <row r="13" spans="1:26" x14ac:dyDescent="0.2">
      <c r="A13" s="193" t="s">
        <v>246</v>
      </c>
      <c r="B13" s="193" t="s">
        <v>317</v>
      </c>
      <c r="C13" s="193"/>
      <c r="D13" s="87">
        <v>3</v>
      </c>
      <c r="R13" s="87" t="s">
        <v>311</v>
      </c>
      <c r="T13" s="87" t="s">
        <v>1010</v>
      </c>
      <c r="X13" s="87" t="s">
        <v>295</v>
      </c>
    </row>
    <row r="14" spans="1:26" x14ac:dyDescent="0.2">
      <c r="A14" s="193" t="s">
        <v>318</v>
      </c>
      <c r="B14" s="193" t="s">
        <v>319</v>
      </c>
      <c r="C14" s="193"/>
      <c r="D14" s="87">
        <v>3</v>
      </c>
      <c r="R14" s="87" t="s">
        <v>312</v>
      </c>
      <c r="T14" s="87" t="s">
        <v>1012</v>
      </c>
      <c r="X14" s="87" t="s">
        <v>296</v>
      </c>
    </row>
    <row r="15" spans="1:26" x14ac:dyDescent="0.2">
      <c r="R15" s="87" t="s">
        <v>313</v>
      </c>
      <c r="T15" s="87" t="s">
        <v>1013</v>
      </c>
    </row>
    <row r="16" spans="1:26" x14ac:dyDescent="0.2">
      <c r="R16" s="87" t="s">
        <v>314</v>
      </c>
    </row>
  </sheetData>
  <sortState xmlns:xlrd2="http://schemas.microsoft.com/office/spreadsheetml/2017/richdata2" ref="T2:T15">
    <sortCondition ref="T2:T15"/>
  </sortState>
  <phoneticPr fontId="6" type="noConversion"/>
  <dataValidations count="9">
    <dataValidation type="list" showInputMessage="1" showErrorMessage="1" sqref="C3" xr:uid="{208839D7-49A0-4264-A7EC-EE24FD9B16FC}">
      <formula1>$S$2:$S$5</formula1>
    </dataValidation>
    <dataValidation type="list" showInputMessage="1" showErrorMessage="1" sqref="C5" xr:uid="{57C52EA9-83BC-408C-91E2-A75031525C39}">
      <formula1>$U$2:$U$5</formula1>
    </dataValidation>
    <dataValidation type="list" showInputMessage="1" showErrorMessage="1" sqref="C6" xr:uid="{8DC72D9F-6734-4A91-99B4-B90E641E080D}">
      <formula1>$V$2:$V$3</formula1>
    </dataValidation>
    <dataValidation type="list" allowBlank="1" showInputMessage="1" showErrorMessage="1" sqref="C7" xr:uid="{B3FDAE70-4191-4281-9322-D2F107859055}">
      <formula1>$W$2:$W$11</formula1>
    </dataValidation>
    <dataValidation type="list" showInputMessage="1" showErrorMessage="1" sqref="C8" xr:uid="{2DA5381E-CBEA-4890-9E5C-9BC6D74269AB}">
      <formula1>$X$2:$X$14</formula1>
    </dataValidation>
    <dataValidation type="list" allowBlank="1" showInputMessage="1" showErrorMessage="1" sqref="C9" xr:uid="{FFBAC281-5E63-4C52-B881-7B16B25C1A3E}">
      <formula1>$Y$2:$Y$11</formula1>
    </dataValidation>
    <dataValidation type="list" showInputMessage="1" showErrorMessage="1" sqref="C2" xr:uid="{044CECE7-6B58-4EF8-A025-C78738738041}">
      <formula1>$R$2:$R$16</formula1>
    </dataValidation>
    <dataValidation type="list" allowBlank="1" showInputMessage="1" showErrorMessage="1" sqref="C4" xr:uid="{DA6B5EF3-9564-4CFB-8B43-8CCB6EA1579A}">
      <formula1>$T$2:$T$15</formula1>
    </dataValidation>
    <dataValidation type="list" allowBlank="1" showInputMessage="1" showErrorMessage="1" sqref="C10" xr:uid="{0DEA767B-569B-403B-A69F-EEDD5632A138}">
      <formula1>$Z$2:$Z$4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930F-B650-4AB8-BF73-AFE766ADE0D1}">
  <dimension ref="A1:W193"/>
  <sheetViews>
    <sheetView workbookViewId="0">
      <selection activeCell="R13" sqref="R13"/>
    </sheetView>
  </sheetViews>
  <sheetFormatPr defaultColWidth="8.85546875" defaultRowHeight="12.75" x14ac:dyDescent="0.2"/>
  <cols>
    <col min="1" max="1" width="16.28515625" style="88" bestFit="1" customWidth="1"/>
    <col min="2" max="2" width="30.42578125" style="87" bestFit="1" customWidth="1"/>
    <col min="3" max="3" width="16" style="87" bestFit="1" customWidth="1"/>
    <col min="4" max="4" width="11.42578125" style="87" bestFit="1" customWidth="1"/>
    <col min="5" max="16384" width="8.85546875" style="87"/>
  </cols>
  <sheetData>
    <row r="1" spans="1:23" x14ac:dyDescent="0.2">
      <c r="A1" s="88" t="s">
        <v>320</v>
      </c>
      <c r="B1" s="87" t="s">
        <v>238</v>
      </c>
      <c r="C1" s="87" t="s">
        <v>323</v>
      </c>
      <c r="R1" s="88" t="s">
        <v>320</v>
      </c>
      <c r="S1" s="88" t="s">
        <v>321</v>
      </c>
      <c r="T1" s="88" t="s">
        <v>515</v>
      </c>
      <c r="U1" s="88"/>
      <c r="V1" s="88"/>
      <c r="W1" s="88" t="s">
        <v>515</v>
      </c>
    </row>
    <row r="2" spans="1:23" x14ac:dyDescent="0.2">
      <c r="A2" s="88" t="s">
        <v>240</v>
      </c>
      <c r="B2" s="87" t="s">
        <v>238</v>
      </c>
      <c r="C2" s="87" t="s">
        <v>105</v>
      </c>
      <c r="D2" s="87" t="s">
        <v>241</v>
      </c>
      <c r="R2" s="87" t="s">
        <v>322</v>
      </c>
      <c r="S2" s="87" t="s">
        <v>103</v>
      </c>
      <c r="T2" s="87" t="s">
        <v>520</v>
      </c>
      <c r="U2" s="87" t="s">
        <v>818</v>
      </c>
      <c r="V2" s="87" t="s">
        <v>521</v>
      </c>
      <c r="W2" s="87" t="str">
        <f>CONCATENATE(T2,U2,V2)</f>
        <v>AED Egyesült Arab Emírségek-beli dirham</v>
      </c>
    </row>
    <row r="3" spans="1:23" x14ac:dyDescent="0.2">
      <c r="A3" s="88" t="s">
        <v>242</v>
      </c>
      <c r="B3" s="87" t="s">
        <v>514</v>
      </c>
      <c r="C3" s="87" t="s">
        <v>820</v>
      </c>
      <c r="D3" s="91">
        <v>0</v>
      </c>
      <c r="R3" s="87" t="s">
        <v>323</v>
      </c>
      <c r="S3" s="87" t="s">
        <v>104</v>
      </c>
      <c r="T3" s="87" t="s">
        <v>522</v>
      </c>
      <c r="U3" s="87" t="s">
        <v>818</v>
      </c>
      <c r="V3" s="87" t="s">
        <v>523</v>
      </c>
      <c r="W3" s="87" t="str">
        <f t="shared" ref="W3:W66" si="0">CONCATENATE(T3,U3,V3)</f>
        <v>AFN Afgán afghani</v>
      </c>
    </row>
    <row r="4" spans="1:23" x14ac:dyDescent="0.2">
      <c r="A4" s="88" t="s">
        <v>243</v>
      </c>
      <c r="B4" s="87" t="s">
        <v>514</v>
      </c>
      <c r="C4" s="87" t="s">
        <v>819</v>
      </c>
      <c r="D4" s="91">
        <v>0</v>
      </c>
      <c r="R4" s="87" t="s">
        <v>324</v>
      </c>
      <c r="S4" s="87" t="s">
        <v>97</v>
      </c>
      <c r="T4" s="87" t="s">
        <v>524</v>
      </c>
      <c r="U4" s="87" t="s">
        <v>818</v>
      </c>
      <c r="V4" s="87" t="s">
        <v>525</v>
      </c>
      <c r="W4" s="87" t="str">
        <f t="shared" si="0"/>
        <v>ALL Albán lek</v>
      </c>
    </row>
    <row r="5" spans="1:23" x14ac:dyDescent="0.2">
      <c r="D5" s="91"/>
      <c r="R5" s="87" t="s">
        <v>325</v>
      </c>
      <c r="S5" s="87" t="s">
        <v>105</v>
      </c>
      <c r="T5" s="87" t="s">
        <v>526</v>
      </c>
      <c r="U5" s="87" t="s">
        <v>818</v>
      </c>
      <c r="V5" s="87" t="s">
        <v>527</v>
      </c>
      <c r="W5" s="87" t="str">
        <f t="shared" si="0"/>
        <v>AMD Örmény dram</v>
      </c>
    </row>
    <row r="6" spans="1:23" x14ac:dyDescent="0.2">
      <c r="D6" s="91"/>
      <c r="R6" s="87" t="s">
        <v>326</v>
      </c>
      <c r="S6" s="87" t="s">
        <v>72</v>
      </c>
      <c r="T6" s="87" t="s">
        <v>528</v>
      </c>
      <c r="U6" s="87" t="s">
        <v>818</v>
      </c>
      <c r="V6" s="87" t="s">
        <v>529</v>
      </c>
      <c r="W6" s="87" t="str">
        <f t="shared" si="0"/>
        <v>ANG Holland antillákbeli forint</v>
      </c>
    </row>
    <row r="7" spans="1:23" x14ac:dyDescent="0.2">
      <c r="D7" s="91"/>
      <c r="R7" s="87" t="s">
        <v>327</v>
      </c>
      <c r="S7" s="87" t="s">
        <v>106</v>
      </c>
      <c r="T7" s="87" t="s">
        <v>530</v>
      </c>
      <c r="U7" s="87" t="s">
        <v>818</v>
      </c>
      <c r="V7" s="87" t="s">
        <v>531</v>
      </c>
      <c r="W7" s="87" t="str">
        <f t="shared" si="0"/>
        <v>AOA Angolai kwanza</v>
      </c>
    </row>
    <row r="8" spans="1:23" x14ac:dyDescent="0.2">
      <c r="D8" s="91"/>
      <c r="R8" s="87" t="s">
        <v>328</v>
      </c>
      <c r="S8" s="87" t="s">
        <v>107</v>
      </c>
      <c r="T8" s="87" t="s">
        <v>532</v>
      </c>
      <c r="U8" s="87" t="s">
        <v>818</v>
      </c>
      <c r="V8" s="87" t="s">
        <v>533</v>
      </c>
      <c r="W8" s="87" t="str">
        <f t="shared" si="0"/>
        <v>ARS Argentin peso</v>
      </c>
    </row>
    <row r="9" spans="1:23" x14ac:dyDescent="0.2">
      <c r="D9" s="91"/>
      <c r="R9" s="87" t="s">
        <v>329</v>
      </c>
      <c r="S9" s="87" t="s">
        <v>108</v>
      </c>
      <c r="T9" s="87" t="s">
        <v>534</v>
      </c>
      <c r="U9" s="87" t="s">
        <v>818</v>
      </c>
      <c r="V9" s="87" t="s">
        <v>535</v>
      </c>
      <c r="W9" s="87" t="str">
        <f t="shared" si="0"/>
        <v>AUD Ausztrál dollár</v>
      </c>
    </row>
    <row r="10" spans="1:23" x14ac:dyDescent="0.2">
      <c r="D10" s="91"/>
      <c r="R10" s="87" t="s">
        <v>330</v>
      </c>
      <c r="T10" s="87" t="s">
        <v>536</v>
      </c>
      <c r="U10" s="87" t="s">
        <v>818</v>
      </c>
      <c r="V10" s="87" t="s">
        <v>537</v>
      </c>
      <c r="W10" s="87" t="str">
        <f t="shared" si="0"/>
        <v>AWG Arubai florin</v>
      </c>
    </row>
    <row r="11" spans="1:23" x14ac:dyDescent="0.2">
      <c r="D11" s="91"/>
      <c r="R11" s="87" t="s">
        <v>331</v>
      </c>
      <c r="T11" s="87" t="s">
        <v>538</v>
      </c>
      <c r="U11" s="87" t="s">
        <v>818</v>
      </c>
      <c r="V11" s="87" t="s">
        <v>539</v>
      </c>
      <c r="W11" s="87" t="str">
        <f t="shared" si="0"/>
        <v>AZN Azerbajdzsáni manat</v>
      </c>
    </row>
    <row r="12" spans="1:23" x14ac:dyDescent="0.2">
      <c r="D12" s="91"/>
      <c r="R12" s="87" t="s">
        <v>332</v>
      </c>
      <c r="T12" s="87" t="s">
        <v>540</v>
      </c>
      <c r="U12" s="87" t="s">
        <v>818</v>
      </c>
      <c r="V12" s="87" t="s">
        <v>541</v>
      </c>
      <c r="W12" s="87" t="str">
        <f t="shared" si="0"/>
        <v>BAM Bosznia-hercegovinai konvertibilis márka</v>
      </c>
    </row>
    <row r="13" spans="1:23" x14ac:dyDescent="0.2">
      <c r="D13" s="91"/>
      <c r="R13" s="87" t="s">
        <v>333</v>
      </c>
      <c r="T13" s="87" t="s">
        <v>542</v>
      </c>
      <c r="U13" s="87" t="s">
        <v>818</v>
      </c>
      <c r="V13" s="87" t="s">
        <v>543</v>
      </c>
      <c r="W13" s="87" t="str">
        <f t="shared" si="0"/>
        <v>BBD Barbadosi dollár</v>
      </c>
    </row>
    <row r="14" spans="1:23" x14ac:dyDescent="0.2">
      <c r="D14" s="91"/>
      <c r="R14" s="87" t="s">
        <v>334</v>
      </c>
      <c r="T14" s="87" t="s">
        <v>544</v>
      </c>
      <c r="U14" s="87" t="s">
        <v>818</v>
      </c>
      <c r="V14" s="87" t="s">
        <v>545</v>
      </c>
      <c r="W14" s="87" t="str">
        <f t="shared" si="0"/>
        <v>BDT Bangladesi taka</v>
      </c>
    </row>
    <row r="15" spans="1:23" x14ac:dyDescent="0.2">
      <c r="D15" s="91"/>
      <c r="R15" s="87" t="s">
        <v>335</v>
      </c>
      <c r="T15" s="87" t="s">
        <v>546</v>
      </c>
      <c r="U15" s="87" t="s">
        <v>818</v>
      </c>
      <c r="V15" s="87" t="s">
        <v>547</v>
      </c>
      <c r="W15" s="87" t="str">
        <f t="shared" si="0"/>
        <v>BGN Bolgár leva</v>
      </c>
    </row>
    <row r="16" spans="1:23" x14ac:dyDescent="0.2">
      <c r="D16" s="91"/>
      <c r="R16" s="87" t="s">
        <v>336</v>
      </c>
      <c r="T16" s="87" t="s">
        <v>548</v>
      </c>
      <c r="U16" s="87" t="s">
        <v>818</v>
      </c>
      <c r="V16" s="87" t="s">
        <v>549</v>
      </c>
      <c r="W16" s="87" t="str">
        <f t="shared" si="0"/>
        <v>BHD Bahreini dinár</v>
      </c>
    </row>
    <row r="17" spans="4:23" x14ac:dyDescent="0.2">
      <c r="D17" s="91"/>
      <c r="R17" s="87" t="s">
        <v>337</v>
      </c>
      <c r="T17" s="87" t="s">
        <v>550</v>
      </c>
      <c r="U17" s="87" t="s">
        <v>818</v>
      </c>
      <c r="V17" s="87" t="s">
        <v>551</v>
      </c>
      <c r="W17" s="87" t="str">
        <f t="shared" si="0"/>
        <v>BIF Burundi frank</v>
      </c>
    </row>
    <row r="18" spans="4:23" x14ac:dyDescent="0.2">
      <c r="D18" s="91"/>
      <c r="R18" s="87" t="s">
        <v>338</v>
      </c>
      <c r="T18" s="87" t="s">
        <v>552</v>
      </c>
      <c r="U18" s="87" t="s">
        <v>818</v>
      </c>
      <c r="V18" s="87" t="s">
        <v>553</v>
      </c>
      <c r="W18" s="87" t="str">
        <f t="shared" si="0"/>
        <v>BMD Bermudai dollár</v>
      </c>
    </row>
    <row r="19" spans="4:23" x14ac:dyDescent="0.2">
      <c r="D19" s="91"/>
      <c r="R19" s="87" t="s">
        <v>339</v>
      </c>
      <c r="T19" s="87" t="s">
        <v>554</v>
      </c>
      <c r="U19" s="87" t="s">
        <v>818</v>
      </c>
      <c r="V19" s="87" t="s">
        <v>555</v>
      </c>
      <c r="W19" s="87" t="str">
        <f t="shared" si="0"/>
        <v>BND Brunei dollár</v>
      </c>
    </row>
    <row r="20" spans="4:23" x14ac:dyDescent="0.2">
      <c r="D20" s="91"/>
      <c r="R20" s="87" t="s">
        <v>340</v>
      </c>
      <c r="T20" s="87" t="s">
        <v>556</v>
      </c>
      <c r="U20" s="87" t="s">
        <v>818</v>
      </c>
      <c r="V20" s="87" t="s">
        <v>557</v>
      </c>
      <c r="W20" s="87" t="str">
        <f t="shared" si="0"/>
        <v>BOB Bolíviai boliviano</v>
      </c>
    </row>
    <row r="21" spans="4:23" x14ac:dyDescent="0.2">
      <c r="D21" s="91"/>
      <c r="R21" s="87" t="s">
        <v>341</v>
      </c>
      <c r="T21" s="87" t="s">
        <v>558</v>
      </c>
      <c r="U21" s="87" t="s">
        <v>818</v>
      </c>
      <c r="V21" s="87" t="s">
        <v>559</v>
      </c>
      <c r="W21" s="87" t="str">
        <f t="shared" si="0"/>
        <v>BRL Brazil real</v>
      </c>
    </row>
    <row r="22" spans="4:23" x14ac:dyDescent="0.2">
      <c r="D22" s="91"/>
      <c r="R22" s="87" t="s">
        <v>342</v>
      </c>
      <c r="T22" s="87" t="s">
        <v>560</v>
      </c>
      <c r="U22" s="87" t="s">
        <v>818</v>
      </c>
      <c r="V22" s="87" t="s">
        <v>561</v>
      </c>
      <c r="W22" s="87" t="str">
        <f t="shared" si="0"/>
        <v>BSD Bahamai dollár</v>
      </c>
    </row>
    <row r="23" spans="4:23" x14ac:dyDescent="0.2">
      <c r="D23" s="91"/>
      <c r="R23" s="87" t="s">
        <v>343</v>
      </c>
      <c r="T23" s="87" t="s">
        <v>562</v>
      </c>
      <c r="U23" s="87" t="s">
        <v>818</v>
      </c>
      <c r="V23" s="87" t="s">
        <v>563</v>
      </c>
      <c r="W23" s="87" t="str">
        <f t="shared" si="0"/>
        <v>BTN Bhutáni ngultrum</v>
      </c>
    </row>
    <row r="24" spans="4:23" x14ac:dyDescent="0.2">
      <c r="R24" s="87" t="s">
        <v>344</v>
      </c>
      <c r="T24" s="87" t="s">
        <v>564</v>
      </c>
      <c r="U24" s="87" t="s">
        <v>818</v>
      </c>
      <c r="V24" s="87" t="s">
        <v>565</v>
      </c>
      <c r="W24" s="87" t="str">
        <f t="shared" si="0"/>
        <v>BWP Botswanai pula</v>
      </c>
    </row>
    <row r="25" spans="4:23" x14ac:dyDescent="0.2">
      <c r="R25" s="87" t="s">
        <v>345</v>
      </c>
      <c r="T25" s="87" t="s">
        <v>566</v>
      </c>
      <c r="U25" s="87" t="s">
        <v>818</v>
      </c>
      <c r="V25" s="87" t="s">
        <v>567</v>
      </c>
      <c r="W25" s="87" t="str">
        <f t="shared" si="0"/>
        <v>BYN Fehérorosz rubel</v>
      </c>
    </row>
    <row r="26" spans="4:23" x14ac:dyDescent="0.2">
      <c r="R26" s="87" t="s">
        <v>346</v>
      </c>
      <c r="T26" s="87" t="s">
        <v>568</v>
      </c>
      <c r="U26" s="87" t="s">
        <v>818</v>
      </c>
      <c r="V26" s="87" t="s">
        <v>569</v>
      </c>
      <c r="W26" s="87" t="str">
        <f t="shared" si="0"/>
        <v>BZD Belize-i dollár</v>
      </c>
    </row>
    <row r="27" spans="4:23" x14ac:dyDescent="0.2">
      <c r="R27" s="87" t="s">
        <v>347</v>
      </c>
      <c r="T27" s="87" t="s">
        <v>570</v>
      </c>
      <c r="U27" s="87" t="s">
        <v>818</v>
      </c>
      <c r="V27" s="87" t="s">
        <v>571</v>
      </c>
      <c r="W27" s="87" t="str">
        <f t="shared" si="0"/>
        <v>CAD Kanadai dollár</v>
      </c>
    </row>
    <row r="28" spans="4:23" x14ac:dyDescent="0.2">
      <c r="R28" s="87" t="s">
        <v>348</v>
      </c>
      <c r="T28" s="87" t="s">
        <v>572</v>
      </c>
      <c r="U28" s="87" t="s">
        <v>818</v>
      </c>
      <c r="V28" s="87" t="s">
        <v>573</v>
      </c>
      <c r="W28" s="87" t="str">
        <f t="shared" si="0"/>
        <v>CDF Kongói frank</v>
      </c>
    </row>
    <row r="29" spans="4:23" x14ac:dyDescent="0.2">
      <c r="R29" s="87" t="s">
        <v>349</v>
      </c>
      <c r="T29" s="87" t="s">
        <v>574</v>
      </c>
      <c r="U29" s="87" t="s">
        <v>818</v>
      </c>
      <c r="V29" s="87" t="s">
        <v>575</v>
      </c>
      <c r="W29" s="87" t="str">
        <f t="shared" si="0"/>
        <v>CHF Svájci frank</v>
      </c>
    </row>
    <row r="30" spans="4:23" x14ac:dyDescent="0.2">
      <c r="R30" s="87" t="s">
        <v>350</v>
      </c>
      <c r="T30" s="87" t="s">
        <v>576</v>
      </c>
      <c r="U30" s="87" t="s">
        <v>818</v>
      </c>
      <c r="V30" s="87" t="s">
        <v>577</v>
      </c>
      <c r="W30" s="87" t="str">
        <f t="shared" si="0"/>
        <v>CLP Chilei peso</v>
      </c>
    </row>
    <row r="31" spans="4:23" x14ac:dyDescent="0.2">
      <c r="R31" s="87" t="s">
        <v>351</v>
      </c>
      <c r="T31" s="87" t="s">
        <v>578</v>
      </c>
      <c r="U31" s="87" t="s">
        <v>818</v>
      </c>
      <c r="V31" s="87" t="s">
        <v>579</v>
      </c>
      <c r="W31" s="87" t="str">
        <f t="shared" si="0"/>
        <v>CNY Kínai jüan (Renminbi)</v>
      </c>
    </row>
    <row r="32" spans="4:23" x14ac:dyDescent="0.2">
      <c r="R32" s="87" t="s">
        <v>352</v>
      </c>
      <c r="T32" s="87" t="s">
        <v>580</v>
      </c>
      <c r="U32" s="87" t="s">
        <v>818</v>
      </c>
      <c r="V32" s="87" t="s">
        <v>581</v>
      </c>
      <c r="W32" s="87" t="str">
        <f t="shared" si="0"/>
        <v>COP Kolumbiai peso</v>
      </c>
    </row>
    <row r="33" spans="18:23" x14ac:dyDescent="0.2">
      <c r="R33" s="87" t="s">
        <v>353</v>
      </c>
      <c r="T33" s="87" t="s">
        <v>582</v>
      </c>
      <c r="U33" s="87" t="s">
        <v>818</v>
      </c>
      <c r="V33" s="87" t="s">
        <v>583</v>
      </c>
      <c r="W33" s="87" t="str">
        <f t="shared" si="0"/>
        <v>CRC Costa Rica-i colón</v>
      </c>
    </row>
    <row r="34" spans="18:23" x14ac:dyDescent="0.2">
      <c r="R34" s="87" t="s">
        <v>354</v>
      </c>
      <c r="T34" s="87" t="s">
        <v>584</v>
      </c>
      <c r="U34" s="87" t="s">
        <v>818</v>
      </c>
      <c r="V34" s="87" t="s">
        <v>585</v>
      </c>
      <c r="W34" s="87" t="str">
        <f t="shared" si="0"/>
        <v>CUP Kubai peso</v>
      </c>
    </row>
    <row r="35" spans="18:23" x14ac:dyDescent="0.2">
      <c r="R35" s="87" t="s">
        <v>355</v>
      </c>
      <c r="T35" s="87" t="s">
        <v>586</v>
      </c>
      <c r="U35" s="87" t="s">
        <v>818</v>
      </c>
      <c r="V35" s="87" t="s">
        <v>587</v>
      </c>
      <c r="W35" s="87" t="str">
        <f t="shared" si="0"/>
        <v>CVE Zöld-foki escudo</v>
      </c>
    </row>
    <row r="36" spans="18:23" x14ac:dyDescent="0.2">
      <c r="R36" s="87" t="s">
        <v>356</v>
      </c>
      <c r="T36" s="87" t="s">
        <v>588</v>
      </c>
      <c r="U36" s="87" t="s">
        <v>818</v>
      </c>
      <c r="V36" s="87" t="s">
        <v>589</v>
      </c>
      <c r="W36" s="87" t="str">
        <f t="shared" si="0"/>
        <v>CZK Cseh korona</v>
      </c>
    </row>
    <row r="37" spans="18:23" x14ac:dyDescent="0.2">
      <c r="R37" s="87" t="s">
        <v>357</v>
      </c>
      <c r="T37" s="87" t="s">
        <v>590</v>
      </c>
      <c r="U37" s="87" t="s">
        <v>818</v>
      </c>
      <c r="V37" s="87" t="s">
        <v>591</v>
      </c>
      <c r="W37" s="87" t="str">
        <f t="shared" si="0"/>
        <v>DJF Dzsibuti frank</v>
      </c>
    </row>
    <row r="38" spans="18:23" x14ac:dyDescent="0.2">
      <c r="R38" s="87" t="s">
        <v>358</v>
      </c>
      <c r="T38" s="87" t="s">
        <v>592</v>
      </c>
      <c r="U38" s="87" t="s">
        <v>818</v>
      </c>
      <c r="V38" s="87" t="s">
        <v>593</v>
      </c>
      <c r="W38" s="87" t="str">
        <f t="shared" si="0"/>
        <v>DKK Dán korona</v>
      </c>
    </row>
    <row r="39" spans="18:23" x14ac:dyDescent="0.2">
      <c r="R39" s="87" t="s">
        <v>359</v>
      </c>
      <c r="T39" s="87" t="s">
        <v>594</v>
      </c>
      <c r="U39" s="87" t="s">
        <v>818</v>
      </c>
      <c r="V39" s="87" t="s">
        <v>595</v>
      </c>
      <c r="W39" s="87" t="str">
        <f t="shared" si="0"/>
        <v>DOP Dominikai peso</v>
      </c>
    </row>
    <row r="40" spans="18:23" x14ac:dyDescent="0.2">
      <c r="R40" s="87" t="s">
        <v>360</v>
      </c>
      <c r="T40" s="87" t="s">
        <v>596</v>
      </c>
      <c r="U40" s="87" t="s">
        <v>818</v>
      </c>
      <c r="V40" s="87" t="s">
        <v>597</v>
      </c>
      <c r="W40" s="87" t="str">
        <f t="shared" si="0"/>
        <v>DZD Algériai dinár</v>
      </c>
    </row>
    <row r="41" spans="18:23" x14ac:dyDescent="0.2">
      <c r="R41" s="87" t="s">
        <v>361</v>
      </c>
      <c r="T41" s="87" t="s">
        <v>598</v>
      </c>
      <c r="U41" s="87" t="s">
        <v>818</v>
      </c>
      <c r="V41" s="87" t="s">
        <v>599</v>
      </c>
      <c r="W41" s="87" t="str">
        <f t="shared" si="0"/>
        <v>EGP Egyiptomi font</v>
      </c>
    </row>
    <row r="42" spans="18:23" x14ac:dyDescent="0.2">
      <c r="R42" s="87" t="s">
        <v>362</v>
      </c>
      <c r="T42" s="87" t="s">
        <v>600</v>
      </c>
      <c r="U42" s="87" t="s">
        <v>818</v>
      </c>
      <c r="V42" s="87" t="s">
        <v>601</v>
      </c>
      <c r="W42" s="87" t="str">
        <f t="shared" si="0"/>
        <v>ERN Eritreai nakfa</v>
      </c>
    </row>
    <row r="43" spans="18:23" x14ac:dyDescent="0.2">
      <c r="R43" s="87" t="s">
        <v>363</v>
      </c>
      <c r="T43" s="87" t="s">
        <v>602</v>
      </c>
      <c r="U43" s="87" t="s">
        <v>818</v>
      </c>
      <c r="V43" s="87" t="s">
        <v>603</v>
      </c>
      <c r="W43" s="87" t="str">
        <f t="shared" si="0"/>
        <v>ETB Etióp birr</v>
      </c>
    </row>
    <row r="44" spans="18:23" x14ac:dyDescent="0.2">
      <c r="R44" s="87" t="s">
        <v>364</v>
      </c>
      <c r="T44" s="87" t="s">
        <v>517</v>
      </c>
      <c r="U44" s="87" t="s">
        <v>818</v>
      </c>
      <c r="V44" s="87" t="s">
        <v>604</v>
      </c>
      <c r="W44" s="87" t="str">
        <f t="shared" si="0"/>
        <v>EUR Euró</v>
      </c>
    </row>
    <row r="45" spans="18:23" x14ac:dyDescent="0.2">
      <c r="R45" s="87" t="s">
        <v>365</v>
      </c>
      <c r="T45" s="87" t="s">
        <v>605</v>
      </c>
      <c r="U45" s="87" t="s">
        <v>818</v>
      </c>
      <c r="V45" s="87" t="s">
        <v>606</v>
      </c>
      <c r="W45" s="87" t="str">
        <f t="shared" si="0"/>
        <v>FJD Fidzsi dollár</v>
      </c>
    </row>
    <row r="46" spans="18:23" x14ac:dyDescent="0.2">
      <c r="R46" s="87" t="s">
        <v>366</v>
      </c>
      <c r="T46" s="87" t="s">
        <v>607</v>
      </c>
      <c r="U46" s="87" t="s">
        <v>818</v>
      </c>
      <c r="V46" s="87" t="s">
        <v>608</v>
      </c>
      <c r="W46" s="87" t="str">
        <f t="shared" si="0"/>
        <v>FKP Falkland-szigeteki font</v>
      </c>
    </row>
    <row r="47" spans="18:23" x14ac:dyDescent="0.2">
      <c r="R47" s="87" t="s">
        <v>367</v>
      </c>
      <c r="T47" s="87" t="s">
        <v>519</v>
      </c>
      <c r="U47" s="87" t="s">
        <v>818</v>
      </c>
      <c r="V47" s="87" t="s">
        <v>609</v>
      </c>
      <c r="W47" s="87" t="str">
        <f t="shared" si="0"/>
        <v>GBP Brit font sterling</v>
      </c>
    </row>
    <row r="48" spans="18:23" x14ac:dyDescent="0.2">
      <c r="R48" s="87" t="s">
        <v>368</v>
      </c>
      <c r="T48" s="87" t="s">
        <v>610</v>
      </c>
      <c r="U48" s="87" t="s">
        <v>818</v>
      </c>
      <c r="V48" s="87" t="s">
        <v>611</v>
      </c>
      <c r="W48" s="87" t="str">
        <f t="shared" si="0"/>
        <v>GEL Grúz lari</v>
      </c>
    </row>
    <row r="49" spans="18:23" x14ac:dyDescent="0.2">
      <c r="R49" s="87" t="s">
        <v>369</v>
      </c>
      <c r="T49" s="87" t="s">
        <v>612</v>
      </c>
      <c r="U49" s="87" t="s">
        <v>818</v>
      </c>
      <c r="V49" s="87" t="s">
        <v>613</v>
      </c>
      <c r="W49" s="87" t="str">
        <f t="shared" si="0"/>
        <v>GHS Ghánai cedi</v>
      </c>
    </row>
    <row r="50" spans="18:23" x14ac:dyDescent="0.2">
      <c r="R50" s="87" t="s">
        <v>370</v>
      </c>
      <c r="T50" s="87" t="s">
        <v>614</v>
      </c>
      <c r="U50" s="87" t="s">
        <v>818</v>
      </c>
      <c r="V50" s="87" t="s">
        <v>615</v>
      </c>
      <c r="W50" s="87" t="str">
        <f t="shared" si="0"/>
        <v>GIP Gibraltári font</v>
      </c>
    </row>
    <row r="51" spans="18:23" x14ac:dyDescent="0.2">
      <c r="R51" s="87" t="s">
        <v>371</v>
      </c>
      <c r="T51" s="87" t="s">
        <v>616</v>
      </c>
      <c r="U51" s="87" t="s">
        <v>818</v>
      </c>
      <c r="V51" s="87" t="s">
        <v>617</v>
      </c>
      <c r="W51" s="87" t="str">
        <f t="shared" si="0"/>
        <v>GMD Gambiai dalasi</v>
      </c>
    </row>
    <row r="52" spans="18:23" x14ac:dyDescent="0.2">
      <c r="R52" s="87" t="s">
        <v>372</v>
      </c>
      <c r="T52" s="87" t="s">
        <v>618</v>
      </c>
      <c r="U52" s="87" t="s">
        <v>818</v>
      </c>
      <c r="V52" s="87" t="s">
        <v>619</v>
      </c>
      <c r="W52" s="87" t="str">
        <f t="shared" si="0"/>
        <v>GNF Guineai frank</v>
      </c>
    </row>
    <row r="53" spans="18:23" x14ac:dyDescent="0.2">
      <c r="R53" s="87" t="s">
        <v>373</v>
      </c>
      <c r="T53" s="87" t="s">
        <v>620</v>
      </c>
      <c r="U53" s="87" t="s">
        <v>818</v>
      </c>
      <c r="V53" s="87" t="s">
        <v>621</v>
      </c>
      <c r="W53" s="87" t="str">
        <f t="shared" si="0"/>
        <v>GTQ Guatemalai quetzal</v>
      </c>
    </row>
    <row r="54" spans="18:23" x14ac:dyDescent="0.2">
      <c r="R54" s="87" t="s">
        <v>374</v>
      </c>
      <c r="T54" s="87" t="s">
        <v>622</v>
      </c>
      <c r="U54" s="87" t="s">
        <v>818</v>
      </c>
      <c r="V54" s="87" t="s">
        <v>623</v>
      </c>
      <c r="W54" s="87" t="str">
        <f t="shared" si="0"/>
        <v>GYD Guyanai dollár</v>
      </c>
    </row>
    <row r="55" spans="18:23" x14ac:dyDescent="0.2">
      <c r="R55" s="87" t="s">
        <v>375</v>
      </c>
      <c r="T55" s="87" t="s">
        <v>624</v>
      </c>
      <c r="U55" s="87" t="s">
        <v>818</v>
      </c>
      <c r="V55" s="87" t="s">
        <v>625</v>
      </c>
      <c r="W55" s="87" t="str">
        <f t="shared" si="0"/>
        <v>HKD Hongkongi dollár</v>
      </c>
    </row>
    <row r="56" spans="18:23" x14ac:dyDescent="0.2">
      <c r="R56" s="87" t="s">
        <v>376</v>
      </c>
      <c r="T56" s="87" t="s">
        <v>626</v>
      </c>
      <c r="U56" s="87" t="s">
        <v>818</v>
      </c>
      <c r="V56" s="87" t="s">
        <v>627</v>
      </c>
      <c r="W56" s="87" t="str">
        <f t="shared" si="0"/>
        <v>HNL Hondurasi lempira</v>
      </c>
    </row>
    <row r="57" spans="18:23" x14ac:dyDescent="0.2">
      <c r="R57" s="87" t="s">
        <v>377</v>
      </c>
      <c r="T57" s="87" t="s">
        <v>516</v>
      </c>
      <c r="U57" s="87" t="s">
        <v>818</v>
      </c>
      <c r="V57" s="87" t="s">
        <v>628</v>
      </c>
      <c r="W57" s="87" t="str">
        <f t="shared" si="0"/>
        <v>HUF Magyar forint</v>
      </c>
    </row>
    <row r="58" spans="18:23" x14ac:dyDescent="0.2">
      <c r="R58" s="87" t="s">
        <v>378</v>
      </c>
      <c r="T58" s="87" t="s">
        <v>629</v>
      </c>
      <c r="U58" s="87" t="s">
        <v>818</v>
      </c>
      <c r="V58" s="87" t="s">
        <v>630</v>
      </c>
      <c r="W58" s="87" t="str">
        <f t="shared" si="0"/>
        <v>IDR Indonéz rúpia</v>
      </c>
    </row>
    <row r="59" spans="18:23" x14ac:dyDescent="0.2">
      <c r="R59" s="87" t="s">
        <v>379</v>
      </c>
      <c r="T59" s="87" t="s">
        <v>631</v>
      </c>
      <c r="U59" s="87" t="s">
        <v>818</v>
      </c>
      <c r="V59" s="87" t="s">
        <v>632</v>
      </c>
      <c r="W59" s="87" t="str">
        <f t="shared" si="0"/>
        <v>ILS Izraeli új sékel</v>
      </c>
    </row>
    <row r="60" spans="18:23" x14ac:dyDescent="0.2">
      <c r="R60" s="87" t="s">
        <v>380</v>
      </c>
      <c r="T60" s="87" t="s">
        <v>633</v>
      </c>
      <c r="U60" s="87" t="s">
        <v>818</v>
      </c>
      <c r="V60" s="87" t="s">
        <v>634</v>
      </c>
      <c r="W60" s="87" t="str">
        <f t="shared" si="0"/>
        <v>INR Indiai rúpia</v>
      </c>
    </row>
    <row r="61" spans="18:23" x14ac:dyDescent="0.2">
      <c r="R61" s="87" t="s">
        <v>381</v>
      </c>
      <c r="T61" s="87" t="s">
        <v>635</v>
      </c>
      <c r="U61" s="87" t="s">
        <v>818</v>
      </c>
      <c r="V61" s="87" t="s">
        <v>636</v>
      </c>
      <c r="W61" s="87" t="str">
        <f t="shared" si="0"/>
        <v>IQD Iraki dinár</v>
      </c>
    </row>
    <row r="62" spans="18:23" x14ac:dyDescent="0.2">
      <c r="R62" s="87" t="s">
        <v>382</v>
      </c>
      <c r="T62" s="87" t="s">
        <v>637</v>
      </c>
      <c r="U62" s="87" t="s">
        <v>818</v>
      </c>
      <c r="V62" s="87" t="s">
        <v>638</v>
      </c>
      <c r="W62" s="87" t="str">
        <f t="shared" si="0"/>
        <v>IRR Iráni rial</v>
      </c>
    </row>
    <row r="63" spans="18:23" x14ac:dyDescent="0.2">
      <c r="R63" s="87" t="s">
        <v>383</v>
      </c>
      <c r="T63" s="87" t="s">
        <v>639</v>
      </c>
      <c r="U63" s="87" t="s">
        <v>818</v>
      </c>
      <c r="V63" s="87" t="s">
        <v>640</v>
      </c>
      <c r="W63" s="87" t="str">
        <f t="shared" si="0"/>
        <v>ISK Izlandi korona</v>
      </c>
    </row>
    <row r="64" spans="18:23" x14ac:dyDescent="0.2">
      <c r="R64" s="87" t="s">
        <v>384</v>
      </c>
      <c r="T64" s="87" t="s">
        <v>641</v>
      </c>
      <c r="U64" s="87" t="s">
        <v>818</v>
      </c>
      <c r="V64" s="87" t="s">
        <v>642</v>
      </c>
      <c r="W64" s="87" t="str">
        <f t="shared" si="0"/>
        <v>JMD Jamaicai dollár</v>
      </c>
    </row>
    <row r="65" spans="18:23" x14ac:dyDescent="0.2">
      <c r="R65" s="87" t="s">
        <v>385</v>
      </c>
      <c r="T65" s="87" t="s">
        <v>643</v>
      </c>
      <c r="U65" s="87" t="s">
        <v>818</v>
      </c>
      <c r="V65" s="87" t="s">
        <v>644</v>
      </c>
      <c r="W65" s="87" t="str">
        <f t="shared" si="0"/>
        <v>JOD Jordán dinár</v>
      </c>
    </row>
    <row r="66" spans="18:23" x14ac:dyDescent="0.2">
      <c r="R66" s="87" t="s">
        <v>386</v>
      </c>
      <c r="T66" s="87" t="s">
        <v>645</v>
      </c>
      <c r="U66" s="87" t="s">
        <v>818</v>
      </c>
      <c r="V66" s="87" t="s">
        <v>646</v>
      </c>
      <c r="W66" s="87" t="str">
        <f t="shared" si="0"/>
        <v>JPY Japán jen</v>
      </c>
    </row>
    <row r="67" spans="18:23" x14ac:dyDescent="0.2">
      <c r="R67" s="87" t="s">
        <v>387</v>
      </c>
      <c r="T67" s="87" t="s">
        <v>647</v>
      </c>
      <c r="U67" s="87" t="s">
        <v>818</v>
      </c>
      <c r="V67" s="87" t="s">
        <v>648</v>
      </c>
      <c r="W67" s="87" t="str">
        <f t="shared" ref="W67:W130" si="1">CONCATENATE(T67,U67,V67)</f>
        <v>KES Kenyai shilling</v>
      </c>
    </row>
    <row r="68" spans="18:23" x14ac:dyDescent="0.2">
      <c r="R68" s="87" t="s">
        <v>388</v>
      </c>
      <c r="T68" s="87" t="s">
        <v>649</v>
      </c>
      <c r="U68" s="87" t="s">
        <v>818</v>
      </c>
      <c r="V68" s="87" t="s">
        <v>650</v>
      </c>
      <c r="W68" s="87" t="str">
        <f t="shared" si="1"/>
        <v>KGS Kirgiz szom</v>
      </c>
    </row>
    <row r="69" spans="18:23" x14ac:dyDescent="0.2">
      <c r="R69" s="87" t="s">
        <v>389</v>
      </c>
      <c r="T69" s="87" t="s">
        <v>651</v>
      </c>
      <c r="U69" s="87" t="s">
        <v>818</v>
      </c>
      <c r="V69" s="87" t="s">
        <v>652</v>
      </c>
      <c r="W69" s="87" t="str">
        <f t="shared" si="1"/>
        <v>KHR Kambodzsai riel</v>
      </c>
    </row>
    <row r="70" spans="18:23" x14ac:dyDescent="0.2">
      <c r="R70" s="87" t="s">
        <v>390</v>
      </c>
      <c r="T70" s="87" t="s">
        <v>653</v>
      </c>
      <c r="U70" s="87" t="s">
        <v>818</v>
      </c>
      <c r="V70" s="87" t="s">
        <v>654</v>
      </c>
      <c r="W70" s="87" t="str">
        <f t="shared" si="1"/>
        <v>KMF Comore-i frank</v>
      </c>
    </row>
    <row r="71" spans="18:23" x14ac:dyDescent="0.2">
      <c r="R71" s="87" t="s">
        <v>391</v>
      </c>
      <c r="T71" s="87" t="s">
        <v>655</v>
      </c>
      <c r="U71" s="87" t="s">
        <v>818</v>
      </c>
      <c r="V71" s="87" t="s">
        <v>656</v>
      </c>
      <c r="W71" s="87" t="str">
        <f t="shared" si="1"/>
        <v>KPW Észak-koreai von</v>
      </c>
    </row>
    <row r="72" spans="18:23" x14ac:dyDescent="0.2">
      <c r="R72" s="87" t="s">
        <v>392</v>
      </c>
      <c r="T72" s="87" t="s">
        <v>657</v>
      </c>
      <c r="U72" s="87" t="s">
        <v>818</v>
      </c>
      <c r="V72" s="87" t="s">
        <v>658</v>
      </c>
      <c r="W72" s="87" t="str">
        <f t="shared" si="1"/>
        <v>KRW Dél-koreai von</v>
      </c>
    </row>
    <row r="73" spans="18:23" x14ac:dyDescent="0.2">
      <c r="R73" s="87" t="s">
        <v>393</v>
      </c>
      <c r="T73" s="87" t="s">
        <v>659</v>
      </c>
      <c r="U73" s="87" t="s">
        <v>818</v>
      </c>
      <c r="V73" s="87" t="s">
        <v>660</v>
      </c>
      <c r="W73" s="87" t="str">
        <f t="shared" si="1"/>
        <v>KWD Kuvaiti dinár</v>
      </c>
    </row>
    <row r="74" spans="18:23" x14ac:dyDescent="0.2">
      <c r="R74" s="87" t="s">
        <v>394</v>
      </c>
      <c r="T74" s="87" t="s">
        <v>661</v>
      </c>
      <c r="U74" s="87" t="s">
        <v>818</v>
      </c>
      <c r="V74" s="87" t="s">
        <v>662</v>
      </c>
      <c r="W74" s="87" t="str">
        <f t="shared" si="1"/>
        <v>KYD Kajmán-szigeteki dollár</v>
      </c>
    </row>
    <row r="75" spans="18:23" x14ac:dyDescent="0.2">
      <c r="R75" s="87" t="s">
        <v>395</v>
      </c>
      <c r="T75" s="87" t="s">
        <v>663</v>
      </c>
      <c r="U75" s="87" t="s">
        <v>818</v>
      </c>
      <c r="V75" s="87" t="s">
        <v>664</v>
      </c>
      <c r="W75" s="87" t="str">
        <f t="shared" si="1"/>
        <v>KZT Kazah tenge</v>
      </c>
    </row>
    <row r="76" spans="18:23" x14ac:dyDescent="0.2">
      <c r="R76" s="87" t="s">
        <v>396</v>
      </c>
      <c r="T76" s="87" t="s">
        <v>665</v>
      </c>
      <c r="U76" s="87" t="s">
        <v>818</v>
      </c>
      <c r="V76" s="87" t="s">
        <v>666</v>
      </c>
      <c r="W76" s="87" t="str">
        <f t="shared" si="1"/>
        <v>LAK Laoszi kip</v>
      </c>
    </row>
    <row r="77" spans="18:23" x14ac:dyDescent="0.2">
      <c r="R77" s="87" t="s">
        <v>397</v>
      </c>
      <c r="T77" s="87" t="s">
        <v>667</v>
      </c>
      <c r="U77" s="87" t="s">
        <v>818</v>
      </c>
      <c r="V77" s="87" t="s">
        <v>668</v>
      </c>
      <c r="W77" s="87" t="str">
        <f t="shared" si="1"/>
        <v>LBP Libanoni font</v>
      </c>
    </row>
    <row r="78" spans="18:23" x14ac:dyDescent="0.2">
      <c r="R78" s="87" t="s">
        <v>398</v>
      </c>
      <c r="T78" s="87" t="s">
        <v>669</v>
      </c>
      <c r="U78" s="87" t="s">
        <v>818</v>
      </c>
      <c r="V78" s="87" t="s">
        <v>670</v>
      </c>
      <c r="W78" s="87" t="str">
        <f t="shared" si="1"/>
        <v>LKR Srí Lanka-i rúpia</v>
      </c>
    </row>
    <row r="79" spans="18:23" x14ac:dyDescent="0.2">
      <c r="R79" s="87" t="s">
        <v>399</v>
      </c>
      <c r="T79" s="87" t="s">
        <v>671</v>
      </c>
      <c r="U79" s="87" t="s">
        <v>818</v>
      </c>
      <c r="V79" s="87" t="s">
        <v>672</v>
      </c>
      <c r="W79" s="87" t="str">
        <f t="shared" si="1"/>
        <v>LRD Libériai dollár</v>
      </c>
    </row>
    <row r="80" spans="18:23" x14ac:dyDescent="0.2">
      <c r="R80" s="87" t="s">
        <v>400</v>
      </c>
      <c r="T80" s="87" t="s">
        <v>673</v>
      </c>
      <c r="U80" s="87" t="s">
        <v>818</v>
      </c>
      <c r="V80" s="87" t="s">
        <v>674</v>
      </c>
      <c r="W80" s="87" t="str">
        <f t="shared" si="1"/>
        <v>LSL Lesothói loti</v>
      </c>
    </row>
    <row r="81" spans="18:23" x14ac:dyDescent="0.2">
      <c r="R81" s="87" t="s">
        <v>401</v>
      </c>
      <c r="T81" s="87" t="s">
        <v>675</v>
      </c>
      <c r="U81" s="87" t="s">
        <v>818</v>
      </c>
      <c r="V81" s="87" t="s">
        <v>676</v>
      </c>
      <c r="W81" s="87" t="str">
        <f t="shared" si="1"/>
        <v>LYD Líbiai dinár</v>
      </c>
    </row>
    <row r="82" spans="18:23" x14ac:dyDescent="0.2">
      <c r="R82" s="87" t="s">
        <v>402</v>
      </c>
      <c r="T82" s="87" t="s">
        <v>677</v>
      </c>
      <c r="U82" s="87" t="s">
        <v>818</v>
      </c>
      <c r="V82" s="87" t="s">
        <v>678</v>
      </c>
      <c r="W82" s="87" t="str">
        <f t="shared" si="1"/>
        <v>MAD Marokkói dirham</v>
      </c>
    </row>
    <row r="83" spans="18:23" x14ac:dyDescent="0.2">
      <c r="R83" s="87" t="s">
        <v>403</v>
      </c>
      <c r="T83" s="87" t="s">
        <v>679</v>
      </c>
      <c r="U83" s="87" t="s">
        <v>818</v>
      </c>
      <c r="V83" s="87" t="s">
        <v>680</v>
      </c>
      <c r="W83" s="87" t="str">
        <f t="shared" si="1"/>
        <v>MDL Moldovai leu</v>
      </c>
    </row>
    <row r="84" spans="18:23" x14ac:dyDescent="0.2">
      <c r="R84" s="87" t="s">
        <v>404</v>
      </c>
      <c r="T84" s="87" t="s">
        <v>681</v>
      </c>
      <c r="U84" s="87" t="s">
        <v>818</v>
      </c>
      <c r="V84" s="87" t="s">
        <v>682</v>
      </c>
      <c r="W84" s="87" t="str">
        <f t="shared" si="1"/>
        <v>MGA Madagaszkári ariary</v>
      </c>
    </row>
    <row r="85" spans="18:23" x14ac:dyDescent="0.2">
      <c r="R85" s="87" t="s">
        <v>405</v>
      </c>
      <c r="T85" s="87" t="s">
        <v>683</v>
      </c>
      <c r="U85" s="87" t="s">
        <v>818</v>
      </c>
      <c r="V85" s="87" t="s">
        <v>684</v>
      </c>
      <c r="W85" s="87" t="str">
        <f t="shared" si="1"/>
        <v>MKD Macedón denár</v>
      </c>
    </row>
    <row r="86" spans="18:23" x14ac:dyDescent="0.2">
      <c r="R86" s="87" t="s">
        <v>406</v>
      </c>
      <c r="T86" s="87" t="s">
        <v>685</v>
      </c>
      <c r="U86" s="87" t="s">
        <v>818</v>
      </c>
      <c r="V86" s="87" t="s">
        <v>686</v>
      </c>
      <c r="W86" s="87" t="str">
        <f t="shared" si="1"/>
        <v>MMK Mianmari kját</v>
      </c>
    </row>
    <row r="87" spans="18:23" x14ac:dyDescent="0.2">
      <c r="R87" s="87" t="s">
        <v>407</v>
      </c>
      <c r="T87" s="87" t="s">
        <v>687</v>
      </c>
      <c r="U87" s="87" t="s">
        <v>818</v>
      </c>
      <c r="V87" s="87" t="s">
        <v>688</v>
      </c>
      <c r="W87" s="87" t="str">
        <f t="shared" si="1"/>
        <v>MNT Mongóliai tugrik</v>
      </c>
    </row>
    <row r="88" spans="18:23" x14ac:dyDescent="0.2">
      <c r="R88" s="87" t="s">
        <v>408</v>
      </c>
      <c r="T88" s="87" t="s">
        <v>689</v>
      </c>
      <c r="U88" s="87" t="s">
        <v>818</v>
      </c>
      <c r="V88" s="87" t="s">
        <v>690</v>
      </c>
      <c r="W88" s="87" t="str">
        <f t="shared" si="1"/>
        <v>MOP Makaói pataca</v>
      </c>
    </row>
    <row r="89" spans="18:23" x14ac:dyDescent="0.2">
      <c r="R89" s="87" t="s">
        <v>409</v>
      </c>
      <c r="T89" s="87" t="s">
        <v>691</v>
      </c>
      <c r="U89" s="87" t="s">
        <v>818</v>
      </c>
      <c r="V89" s="87" t="s">
        <v>692</v>
      </c>
      <c r="W89" s="87" t="str">
        <f t="shared" si="1"/>
        <v>MRU Mauritániai ouguiya</v>
      </c>
    </row>
    <row r="90" spans="18:23" x14ac:dyDescent="0.2">
      <c r="R90" s="87" t="s">
        <v>410</v>
      </c>
      <c r="T90" s="87" t="s">
        <v>693</v>
      </c>
      <c r="U90" s="87" t="s">
        <v>818</v>
      </c>
      <c r="V90" s="87" t="s">
        <v>694</v>
      </c>
      <c r="W90" s="87" t="str">
        <f t="shared" si="1"/>
        <v>MUR Mauritiusi rúpia</v>
      </c>
    </row>
    <row r="91" spans="18:23" x14ac:dyDescent="0.2">
      <c r="R91" s="87" t="s">
        <v>411</v>
      </c>
      <c r="T91" s="87" t="s">
        <v>695</v>
      </c>
      <c r="U91" s="87" t="s">
        <v>818</v>
      </c>
      <c r="V91" s="87" t="s">
        <v>696</v>
      </c>
      <c r="W91" s="87" t="str">
        <f t="shared" si="1"/>
        <v>MVR Maldív-szigeteki rufiyaa</v>
      </c>
    </row>
    <row r="92" spans="18:23" x14ac:dyDescent="0.2">
      <c r="R92" s="87" t="s">
        <v>412</v>
      </c>
      <c r="T92" s="87" t="s">
        <v>697</v>
      </c>
      <c r="U92" s="87" t="s">
        <v>818</v>
      </c>
      <c r="V92" s="87" t="s">
        <v>698</v>
      </c>
      <c r="W92" s="87" t="str">
        <f t="shared" si="1"/>
        <v>MWK Malawi kwacha</v>
      </c>
    </row>
    <row r="93" spans="18:23" x14ac:dyDescent="0.2">
      <c r="R93" s="87" t="s">
        <v>413</v>
      </c>
      <c r="T93" s="87" t="s">
        <v>699</v>
      </c>
      <c r="U93" s="87" t="s">
        <v>818</v>
      </c>
      <c r="V93" s="87" t="s">
        <v>700</v>
      </c>
      <c r="W93" s="87" t="str">
        <f t="shared" si="1"/>
        <v>MXN Mexikói peso</v>
      </c>
    </row>
    <row r="94" spans="18:23" x14ac:dyDescent="0.2">
      <c r="R94" s="87" t="s">
        <v>414</v>
      </c>
      <c r="T94" s="87" t="s">
        <v>701</v>
      </c>
      <c r="U94" s="87" t="s">
        <v>818</v>
      </c>
      <c r="V94" s="87" t="s">
        <v>702</v>
      </c>
      <c r="W94" s="87" t="str">
        <f t="shared" si="1"/>
        <v>MYR Maláj ringgit</v>
      </c>
    </row>
    <row r="95" spans="18:23" x14ac:dyDescent="0.2">
      <c r="R95" s="87" t="s">
        <v>415</v>
      </c>
      <c r="T95" s="87" t="s">
        <v>703</v>
      </c>
      <c r="U95" s="87" t="s">
        <v>818</v>
      </c>
      <c r="V95" s="87" t="s">
        <v>704</v>
      </c>
      <c r="W95" s="87" t="str">
        <f t="shared" si="1"/>
        <v>MZN Mozambiki metical</v>
      </c>
    </row>
    <row r="96" spans="18:23" x14ac:dyDescent="0.2">
      <c r="R96" s="87" t="s">
        <v>416</v>
      </c>
      <c r="T96" s="87" t="s">
        <v>705</v>
      </c>
      <c r="U96" s="87" t="s">
        <v>818</v>
      </c>
      <c r="V96" s="87" t="s">
        <v>706</v>
      </c>
      <c r="W96" s="87" t="str">
        <f t="shared" si="1"/>
        <v>NAD Namíbiai dollár</v>
      </c>
    </row>
    <row r="97" spans="18:23" x14ac:dyDescent="0.2">
      <c r="R97" s="87" t="s">
        <v>417</v>
      </c>
      <c r="T97" s="87" t="s">
        <v>707</v>
      </c>
      <c r="U97" s="87" t="s">
        <v>818</v>
      </c>
      <c r="V97" s="87" t="s">
        <v>708</v>
      </c>
      <c r="W97" s="87" t="str">
        <f t="shared" si="1"/>
        <v>NGN Nigériai naira</v>
      </c>
    </row>
    <row r="98" spans="18:23" x14ac:dyDescent="0.2">
      <c r="R98" s="87" t="s">
        <v>418</v>
      </c>
      <c r="T98" s="87" t="s">
        <v>709</v>
      </c>
      <c r="U98" s="87" t="s">
        <v>818</v>
      </c>
      <c r="V98" s="87" t="s">
        <v>710</v>
      </c>
      <c r="W98" s="87" t="str">
        <f t="shared" si="1"/>
        <v>NIO Nicaraguai córdoba</v>
      </c>
    </row>
    <row r="99" spans="18:23" x14ac:dyDescent="0.2">
      <c r="R99" s="87" t="s">
        <v>419</v>
      </c>
      <c r="T99" s="87" t="s">
        <v>711</v>
      </c>
      <c r="U99" s="87" t="s">
        <v>818</v>
      </c>
      <c r="V99" s="87" t="s">
        <v>712</v>
      </c>
      <c r="W99" s="87" t="str">
        <f t="shared" si="1"/>
        <v>NOK Norvég korona</v>
      </c>
    </row>
    <row r="100" spans="18:23" x14ac:dyDescent="0.2">
      <c r="R100" s="87" t="s">
        <v>420</v>
      </c>
      <c r="T100" s="87" t="s">
        <v>713</v>
      </c>
      <c r="U100" s="87" t="s">
        <v>818</v>
      </c>
      <c r="V100" s="87" t="s">
        <v>714</v>
      </c>
      <c r="W100" s="87" t="str">
        <f t="shared" si="1"/>
        <v>NPR Nepáli rúpia</v>
      </c>
    </row>
    <row r="101" spans="18:23" x14ac:dyDescent="0.2">
      <c r="R101" s="87" t="s">
        <v>421</v>
      </c>
      <c r="T101" s="87" t="s">
        <v>715</v>
      </c>
      <c r="U101" s="87" t="s">
        <v>818</v>
      </c>
      <c r="V101" s="87" t="s">
        <v>716</v>
      </c>
      <c r="W101" s="87" t="str">
        <f t="shared" si="1"/>
        <v>NZD Új-zélandi dollár</v>
      </c>
    </row>
    <row r="102" spans="18:23" x14ac:dyDescent="0.2">
      <c r="R102" s="87" t="s">
        <v>422</v>
      </c>
      <c r="T102" s="87" t="s">
        <v>717</v>
      </c>
      <c r="U102" s="87" t="s">
        <v>818</v>
      </c>
      <c r="V102" s="87" t="s">
        <v>718</v>
      </c>
      <c r="W102" s="87" t="str">
        <f t="shared" si="1"/>
        <v>OMR Ománi rial</v>
      </c>
    </row>
    <row r="103" spans="18:23" x14ac:dyDescent="0.2">
      <c r="R103" s="87" t="s">
        <v>423</v>
      </c>
      <c r="T103" s="87" t="s">
        <v>719</v>
      </c>
      <c r="U103" s="87" t="s">
        <v>818</v>
      </c>
      <c r="V103" s="87" t="s">
        <v>720</v>
      </c>
      <c r="W103" s="87" t="str">
        <f t="shared" si="1"/>
        <v>PAB Panamai balboa</v>
      </c>
    </row>
    <row r="104" spans="18:23" x14ac:dyDescent="0.2">
      <c r="R104" s="87" t="s">
        <v>424</v>
      </c>
      <c r="T104" s="87" t="s">
        <v>721</v>
      </c>
      <c r="U104" s="87" t="s">
        <v>818</v>
      </c>
      <c r="V104" s="87" t="s">
        <v>722</v>
      </c>
      <c r="W104" s="87" t="str">
        <f t="shared" si="1"/>
        <v>PEN Perui sol</v>
      </c>
    </row>
    <row r="105" spans="18:23" x14ac:dyDescent="0.2">
      <c r="R105" s="87" t="s">
        <v>425</v>
      </c>
      <c r="T105" s="87" t="s">
        <v>723</v>
      </c>
      <c r="U105" s="87" t="s">
        <v>818</v>
      </c>
      <c r="V105" s="87" t="s">
        <v>724</v>
      </c>
      <c r="W105" s="87" t="str">
        <f t="shared" si="1"/>
        <v>PGK Pápua új-guineai kina</v>
      </c>
    </row>
    <row r="106" spans="18:23" x14ac:dyDescent="0.2">
      <c r="R106" s="87" t="s">
        <v>426</v>
      </c>
      <c r="T106" s="87" t="s">
        <v>725</v>
      </c>
      <c r="U106" s="87" t="s">
        <v>818</v>
      </c>
      <c r="V106" s="87" t="s">
        <v>726</v>
      </c>
      <c r="W106" s="87" t="str">
        <f t="shared" si="1"/>
        <v>PHP Fülöp-szigeteki peso</v>
      </c>
    </row>
    <row r="107" spans="18:23" x14ac:dyDescent="0.2">
      <c r="R107" s="87" t="s">
        <v>427</v>
      </c>
      <c r="T107" s="87" t="s">
        <v>727</v>
      </c>
      <c r="U107" s="87" t="s">
        <v>818</v>
      </c>
      <c r="V107" s="87" t="s">
        <v>728</v>
      </c>
      <c r="W107" s="87" t="str">
        <f t="shared" si="1"/>
        <v>PKR Pakisztáni rúpia</v>
      </c>
    </row>
    <row r="108" spans="18:23" x14ac:dyDescent="0.2">
      <c r="R108" s="87" t="s">
        <v>428</v>
      </c>
      <c r="T108" s="87" t="s">
        <v>729</v>
      </c>
      <c r="U108" s="87" t="s">
        <v>818</v>
      </c>
      <c r="V108" s="87" t="s">
        <v>730</v>
      </c>
      <c r="W108" s="87" t="str">
        <f t="shared" si="1"/>
        <v>PLN Lengyel zloty</v>
      </c>
    </row>
    <row r="109" spans="18:23" x14ac:dyDescent="0.2">
      <c r="R109" s="87" t="s">
        <v>429</v>
      </c>
      <c r="T109" s="87" t="s">
        <v>731</v>
      </c>
      <c r="U109" s="87" t="s">
        <v>818</v>
      </c>
      <c r="V109" s="87" t="s">
        <v>732</v>
      </c>
      <c r="W109" s="87" t="str">
        <f t="shared" si="1"/>
        <v>PYG Paraguayi guarani</v>
      </c>
    </row>
    <row r="110" spans="18:23" x14ac:dyDescent="0.2">
      <c r="R110" s="87" t="s">
        <v>430</v>
      </c>
      <c r="T110" s="87" t="s">
        <v>733</v>
      </c>
      <c r="U110" s="87" t="s">
        <v>818</v>
      </c>
      <c r="V110" s="87" t="s">
        <v>734</v>
      </c>
      <c r="W110" s="87" t="str">
        <f t="shared" si="1"/>
        <v>QAR Katari rial</v>
      </c>
    </row>
    <row r="111" spans="18:23" x14ac:dyDescent="0.2">
      <c r="R111" s="87" t="s">
        <v>431</v>
      </c>
      <c r="T111" s="87" t="s">
        <v>735</v>
      </c>
      <c r="U111" s="87" t="s">
        <v>818</v>
      </c>
      <c r="V111" s="87" t="s">
        <v>736</v>
      </c>
      <c r="W111" s="87" t="str">
        <f t="shared" si="1"/>
        <v>RON Román lej</v>
      </c>
    </row>
    <row r="112" spans="18:23" x14ac:dyDescent="0.2">
      <c r="R112" s="87" t="s">
        <v>432</v>
      </c>
      <c r="T112" s="87" t="s">
        <v>737</v>
      </c>
      <c r="U112" s="87" t="s">
        <v>818</v>
      </c>
      <c r="V112" s="87" t="s">
        <v>738</v>
      </c>
      <c r="W112" s="87" t="str">
        <f t="shared" si="1"/>
        <v>RSD Szerb dinár</v>
      </c>
    </row>
    <row r="113" spans="18:23" x14ac:dyDescent="0.2">
      <c r="R113" s="87" t="s">
        <v>433</v>
      </c>
      <c r="T113" s="87" t="s">
        <v>739</v>
      </c>
      <c r="U113" s="87" t="s">
        <v>818</v>
      </c>
      <c r="V113" s="87" t="s">
        <v>740</v>
      </c>
      <c r="W113" s="87" t="str">
        <f t="shared" si="1"/>
        <v>RUB Orosz rubel</v>
      </c>
    </row>
    <row r="114" spans="18:23" x14ac:dyDescent="0.2">
      <c r="R114" s="87" t="s">
        <v>434</v>
      </c>
      <c r="T114" s="87" t="s">
        <v>741</v>
      </c>
      <c r="U114" s="87" t="s">
        <v>818</v>
      </c>
      <c r="V114" s="87" t="s">
        <v>742</v>
      </c>
      <c r="W114" s="87" t="str">
        <f t="shared" si="1"/>
        <v>RWF Ruandai frank</v>
      </c>
    </row>
    <row r="115" spans="18:23" x14ac:dyDescent="0.2">
      <c r="R115" s="87" t="s">
        <v>435</v>
      </c>
      <c r="T115" s="87" t="s">
        <v>743</v>
      </c>
      <c r="U115" s="87" t="s">
        <v>818</v>
      </c>
      <c r="V115" s="87" t="s">
        <v>744</v>
      </c>
      <c r="W115" s="87" t="str">
        <f t="shared" si="1"/>
        <v>SAR Szaúdi riyal</v>
      </c>
    </row>
    <row r="116" spans="18:23" x14ac:dyDescent="0.2">
      <c r="R116" s="87" t="s">
        <v>436</v>
      </c>
      <c r="T116" s="87" t="s">
        <v>745</v>
      </c>
      <c r="U116" s="87" t="s">
        <v>818</v>
      </c>
      <c r="V116" s="87" t="s">
        <v>746</v>
      </c>
      <c r="W116" s="87" t="str">
        <f t="shared" si="1"/>
        <v>SBD Salamon-szigeteki dollár</v>
      </c>
    </row>
    <row r="117" spans="18:23" x14ac:dyDescent="0.2">
      <c r="R117" s="87" t="s">
        <v>437</v>
      </c>
      <c r="T117" s="87" t="s">
        <v>747</v>
      </c>
      <c r="U117" s="87" t="s">
        <v>818</v>
      </c>
      <c r="V117" s="87" t="s">
        <v>748</v>
      </c>
      <c r="W117" s="87" t="str">
        <f t="shared" si="1"/>
        <v>SCR Seychelle-szigeteki rúpia</v>
      </c>
    </row>
    <row r="118" spans="18:23" x14ac:dyDescent="0.2">
      <c r="R118" s="87" t="s">
        <v>438</v>
      </c>
      <c r="T118" s="87" t="s">
        <v>749</v>
      </c>
      <c r="U118" s="87" t="s">
        <v>818</v>
      </c>
      <c r="V118" s="87" t="s">
        <v>750</v>
      </c>
      <c r="W118" s="87" t="str">
        <f t="shared" si="1"/>
        <v>SDG Szudáni font</v>
      </c>
    </row>
    <row r="119" spans="18:23" x14ac:dyDescent="0.2">
      <c r="R119" s="87" t="s">
        <v>439</v>
      </c>
      <c r="T119" s="87" t="s">
        <v>751</v>
      </c>
      <c r="U119" s="87" t="s">
        <v>818</v>
      </c>
      <c r="V119" s="87" t="s">
        <v>752</v>
      </c>
      <c r="W119" s="87" t="str">
        <f t="shared" si="1"/>
        <v>SEK Svéd korona</v>
      </c>
    </row>
    <row r="120" spans="18:23" x14ac:dyDescent="0.2">
      <c r="R120" s="87" t="s">
        <v>440</v>
      </c>
      <c r="T120" s="87" t="s">
        <v>753</v>
      </c>
      <c r="U120" s="87" t="s">
        <v>818</v>
      </c>
      <c r="V120" s="87" t="s">
        <v>754</v>
      </c>
      <c r="W120" s="87" t="str">
        <f t="shared" si="1"/>
        <v>SGD Szingapúri dollár</v>
      </c>
    </row>
    <row r="121" spans="18:23" x14ac:dyDescent="0.2">
      <c r="R121" s="87" t="s">
        <v>441</v>
      </c>
      <c r="T121" s="87" t="s">
        <v>755</v>
      </c>
      <c r="U121" s="87" t="s">
        <v>818</v>
      </c>
      <c r="V121" s="87" t="s">
        <v>756</v>
      </c>
      <c r="W121" s="87" t="str">
        <f t="shared" si="1"/>
        <v>SHP Szent Ilona-i font</v>
      </c>
    </row>
    <row r="122" spans="18:23" x14ac:dyDescent="0.2">
      <c r="R122" s="87" t="s">
        <v>442</v>
      </c>
      <c r="T122" s="87" t="s">
        <v>757</v>
      </c>
      <c r="U122" s="87" t="s">
        <v>818</v>
      </c>
      <c r="V122" s="87" t="s">
        <v>758</v>
      </c>
      <c r="W122" s="87" t="str">
        <f t="shared" si="1"/>
        <v>SLL Sierra Leone-i leone</v>
      </c>
    </row>
    <row r="123" spans="18:23" x14ac:dyDescent="0.2">
      <c r="R123" s="87" t="s">
        <v>443</v>
      </c>
      <c r="T123" s="87" t="s">
        <v>759</v>
      </c>
      <c r="U123" s="87" t="s">
        <v>818</v>
      </c>
      <c r="V123" s="87" t="s">
        <v>760</v>
      </c>
      <c r="W123" s="87" t="str">
        <f t="shared" si="1"/>
        <v>SOS Szomáli shilling</v>
      </c>
    </row>
    <row r="124" spans="18:23" x14ac:dyDescent="0.2">
      <c r="R124" s="87" t="s">
        <v>444</v>
      </c>
      <c r="T124" s="87" t="s">
        <v>761</v>
      </c>
      <c r="U124" s="87" t="s">
        <v>818</v>
      </c>
      <c r="V124" s="87" t="s">
        <v>762</v>
      </c>
      <c r="W124" s="87" t="str">
        <f t="shared" si="1"/>
        <v>SRD Suriname-i dollár</v>
      </c>
    </row>
    <row r="125" spans="18:23" x14ac:dyDescent="0.2">
      <c r="R125" s="87" t="s">
        <v>445</v>
      </c>
      <c r="T125" s="87" t="s">
        <v>763</v>
      </c>
      <c r="U125" s="87" t="s">
        <v>818</v>
      </c>
      <c r="V125" s="87" t="s">
        <v>764</v>
      </c>
      <c r="W125" s="87" t="str">
        <f t="shared" si="1"/>
        <v>STN São Tomé és Príncipe-i dobra</v>
      </c>
    </row>
    <row r="126" spans="18:23" x14ac:dyDescent="0.2">
      <c r="R126" s="87" t="s">
        <v>446</v>
      </c>
      <c r="T126" s="87" t="s">
        <v>765</v>
      </c>
      <c r="U126" s="87" t="s">
        <v>818</v>
      </c>
      <c r="V126" s="87" t="s">
        <v>766</v>
      </c>
      <c r="W126" s="87" t="str">
        <f t="shared" si="1"/>
        <v>SYP Szíriai font</v>
      </c>
    </row>
    <row r="127" spans="18:23" x14ac:dyDescent="0.2">
      <c r="R127" s="87" t="s">
        <v>447</v>
      </c>
      <c r="T127" s="87" t="s">
        <v>767</v>
      </c>
      <c r="U127" s="87" t="s">
        <v>818</v>
      </c>
      <c r="V127" s="87" t="s">
        <v>768</v>
      </c>
      <c r="W127" s="87" t="str">
        <f t="shared" si="1"/>
        <v>SZL Szváziföldi lilangeni</v>
      </c>
    </row>
    <row r="128" spans="18:23" x14ac:dyDescent="0.2">
      <c r="R128" s="87" t="s">
        <v>448</v>
      </c>
      <c r="T128" s="87" t="s">
        <v>769</v>
      </c>
      <c r="U128" s="87" t="s">
        <v>818</v>
      </c>
      <c r="V128" s="87" t="s">
        <v>770</v>
      </c>
      <c r="W128" s="87" t="str">
        <f t="shared" si="1"/>
        <v>THB Thaiföldi baht</v>
      </c>
    </row>
    <row r="129" spans="18:23" x14ac:dyDescent="0.2">
      <c r="R129" s="87" t="s">
        <v>449</v>
      </c>
      <c r="T129" s="87" t="s">
        <v>771</v>
      </c>
      <c r="U129" s="87" t="s">
        <v>818</v>
      </c>
      <c r="V129" s="87" t="s">
        <v>772</v>
      </c>
      <c r="W129" s="87" t="str">
        <f t="shared" si="1"/>
        <v>TJS Tádzsik szomoni</v>
      </c>
    </row>
    <row r="130" spans="18:23" x14ac:dyDescent="0.2">
      <c r="R130" s="87" t="s">
        <v>450</v>
      </c>
      <c r="T130" s="87" t="s">
        <v>773</v>
      </c>
      <c r="U130" s="87" t="s">
        <v>818</v>
      </c>
      <c r="V130" s="87" t="s">
        <v>774</v>
      </c>
      <c r="W130" s="87" t="str">
        <f t="shared" si="1"/>
        <v>TMT Türkmén manat</v>
      </c>
    </row>
    <row r="131" spans="18:23" x14ac:dyDescent="0.2">
      <c r="R131" s="87" t="s">
        <v>451</v>
      </c>
      <c r="T131" s="87" t="s">
        <v>775</v>
      </c>
      <c r="U131" s="87" t="s">
        <v>818</v>
      </c>
      <c r="V131" s="87" t="s">
        <v>776</v>
      </c>
      <c r="W131" s="87" t="str">
        <f t="shared" ref="W131:W193" si="2">CONCATENATE(T131,U131,V131)</f>
        <v>TND Tunéziai dinár</v>
      </c>
    </row>
    <row r="132" spans="18:23" x14ac:dyDescent="0.2">
      <c r="R132" s="87" t="s">
        <v>452</v>
      </c>
      <c r="T132" s="87" t="s">
        <v>777</v>
      </c>
      <c r="U132" s="87" t="s">
        <v>818</v>
      </c>
      <c r="V132" s="87" t="s">
        <v>778</v>
      </c>
      <c r="W132" s="87" t="str">
        <f t="shared" si="2"/>
        <v>TOP Tongai paʻanga</v>
      </c>
    </row>
    <row r="133" spans="18:23" x14ac:dyDescent="0.2">
      <c r="R133" s="87" t="s">
        <v>453</v>
      </c>
      <c r="T133" s="87" t="s">
        <v>779</v>
      </c>
      <c r="U133" s="87" t="s">
        <v>818</v>
      </c>
      <c r="V133" s="87" t="s">
        <v>780</v>
      </c>
      <c r="W133" s="87" t="str">
        <f t="shared" si="2"/>
        <v>TRY Török líra</v>
      </c>
    </row>
    <row r="134" spans="18:23" x14ac:dyDescent="0.2">
      <c r="R134" s="87" t="s">
        <v>454</v>
      </c>
      <c r="T134" s="87" t="s">
        <v>781</v>
      </c>
      <c r="U134" s="87" t="s">
        <v>818</v>
      </c>
      <c r="V134" s="87" t="s">
        <v>782</v>
      </c>
      <c r="W134" s="87" t="str">
        <f t="shared" si="2"/>
        <v>TTD Trinidad és Tobagó-i dollár</v>
      </c>
    </row>
    <row r="135" spans="18:23" x14ac:dyDescent="0.2">
      <c r="R135" s="87" t="s">
        <v>455</v>
      </c>
      <c r="T135" s="87" t="s">
        <v>783</v>
      </c>
      <c r="U135" s="87" t="s">
        <v>818</v>
      </c>
      <c r="V135" s="87" t="s">
        <v>784</v>
      </c>
      <c r="W135" s="87" t="str">
        <f t="shared" si="2"/>
        <v>TWD Tajvani új dollár</v>
      </c>
    </row>
    <row r="136" spans="18:23" x14ac:dyDescent="0.2">
      <c r="R136" s="87" t="s">
        <v>456</v>
      </c>
      <c r="T136" s="87" t="s">
        <v>785</v>
      </c>
      <c r="U136" s="87" t="s">
        <v>818</v>
      </c>
      <c r="V136" s="87" t="s">
        <v>786</v>
      </c>
      <c r="W136" s="87" t="str">
        <f t="shared" si="2"/>
        <v>TZS Tanzániai shilling</v>
      </c>
    </row>
    <row r="137" spans="18:23" x14ac:dyDescent="0.2">
      <c r="R137" s="87" t="s">
        <v>457</v>
      </c>
      <c r="T137" s="87" t="s">
        <v>787</v>
      </c>
      <c r="U137" s="87" t="s">
        <v>818</v>
      </c>
      <c r="V137" s="87" t="s">
        <v>788</v>
      </c>
      <c r="W137" s="87" t="str">
        <f t="shared" si="2"/>
        <v>UAH Ukrán hrivnya</v>
      </c>
    </row>
    <row r="138" spans="18:23" x14ac:dyDescent="0.2">
      <c r="R138" s="87" t="s">
        <v>458</v>
      </c>
      <c r="T138" s="87" t="s">
        <v>789</v>
      </c>
      <c r="U138" s="87" t="s">
        <v>818</v>
      </c>
      <c r="V138" s="87" t="s">
        <v>790</v>
      </c>
      <c r="W138" s="87" t="str">
        <f t="shared" si="2"/>
        <v>UGX Ugandai shilling</v>
      </c>
    </row>
    <row r="139" spans="18:23" x14ac:dyDescent="0.2">
      <c r="R139" s="87" t="s">
        <v>459</v>
      </c>
      <c r="T139" s="87" t="s">
        <v>518</v>
      </c>
      <c r="U139" s="87" t="s">
        <v>818</v>
      </c>
      <c r="V139" s="87" t="s">
        <v>791</v>
      </c>
      <c r="W139" s="87" t="str">
        <f t="shared" si="2"/>
        <v>USD Amerikai dollár</v>
      </c>
    </row>
    <row r="140" spans="18:23" x14ac:dyDescent="0.2">
      <c r="R140" s="87" t="s">
        <v>460</v>
      </c>
      <c r="T140" s="87" t="s">
        <v>792</v>
      </c>
      <c r="U140" s="87" t="s">
        <v>818</v>
      </c>
      <c r="V140" s="87" t="s">
        <v>793</v>
      </c>
      <c r="W140" s="87" t="str">
        <f t="shared" si="2"/>
        <v>UYU Uruguayi peso</v>
      </c>
    </row>
    <row r="141" spans="18:23" x14ac:dyDescent="0.2">
      <c r="R141" s="87" t="s">
        <v>461</v>
      </c>
      <c r="T141" s="87" t="s">
        <v>794</v>
      </c>
      <c r="U141" s="87" t="s">
        <v>818</v>
      </c>
      <c r="V141" s="87" t="s">
        <v>795</v>
      </c>
      <c r="W141" s="87" t="str">
        <f t="shared" si="2"/>
        <v>UZS Üzbég szum</v>
      </c>
    </row>
    <row r="142" spans="18:23" x14ac:dyDescent="0.2">
      <c r="R142" s="87" t="s">
        <v>462</v>
      </c>
      <c r="T142" s="87" t="s">
        <v>796</v>
      </c>
      <c r="U142" s="87" t="s">
        <v>818</v>
      </c>
      <c r="V142" s="87" t="s">
        <v>797</v>
      </c>
      <c r="W142" s="87" t="str">
        <f t="shared" si="2"/>
        <v>VES Venezuelai bolívar</v>
      </c>
    </row>
    <row r="143" spans="18:23" x14ac:dyDescent="0.2">
      <c r="R143" s="87" t="s">
        <v>463</v>
      </c>
      <c r="T143" s="87" t="s">
        <v>798</v>
      </c>
      <c r="U143" s="87" t="s">
        <v>818</v>
      </c>
      <c r="V143" s="87" t="s">
        <v>799</v>
      </c>
      <c r="W143" s="87" t="str">
        <f t="shared" si="2"/>
        <v>VND Vietnámi dong</v>
      </c>
    </row>
    <row r="144" spans="18:23" x14ac:dyDescent="0.2">
      <c r="R144" s="87" t="s">
        <v>464</v>
      </c>
      <c r="T144" s="87" t="s">
        <v>800</v>
      </c>
      <c r="U144" s="87" t="s">
        <v>818</v>
      </c>
      <c r="V144" s="87" t="s">
        <v>801</v>
      </c>
      <c r="W144" s="87" t="str">
        <f t="shared" si="2"/>
        <v>VUV Vanuatuatu vatu</v>
      </c>
    </row>
    <row r="145" spans="18:23" x14ac:dyDescent="0.2">
      <c r="R145" s="87" t="s">
        <v>465</v>
      </c>
      <c r="T145" s="87" t="s">
        <v>802</v>
      </c>
      <c r="U145" s="87" t="s">
        <v>818</v>
      </c>
      <c r="V145" s="87" t="s">
        <v>803</v>
      </c>
      <c r="W145" s="87" t="str">
        <f t="shared" si="2"/>
        <v>WST Szamoai tala</v>
      </c>
    </row>
    <row r="146" spans="18:23" x14ac:dyDescent="0.2">
      <c r="R146" s="87" t="s">
        <v>466</v>
      </c>
      <c r="T146" s="87" t="s">
        <v>804</v>
      </c>
      <c r="U146" s="87" t="s">
        <v>818</v>
      </c>
      <c r="V146" s="87" t="s">
        <v>805</v>
      </c>
      <c r="W146" s="87" t="str">
        <f t="shared" si="2"/>
        <v>XAF Közép-afrikai CFA frank (BEAC)</v>
      </c>
    </row>
    <row r="147" spans="18:23" x14ac:dyDescent="0.2">
      <c r="R147" s="87" t="s">
        <v>467</v>
      </c>
      <c r="T147" s="87" t="s">
        <v>806</v>
      </c>
      <c r="U147" s="87" t="s">
        <v>818</v>
      </c>
      <c r="V147" s="87" t="s">
        <v>807</v>
      </c>
      <c r="W147" s="87" t="str">
        <f t="shared" si="2"/>
        <v>XCD Kelet-karibi dollár</v>
      </c>
    </row>
    <row r="148" spans="18:23" x14ac:dyDescent="0.2">
      <c r="R148" s="87" t="s">
        <v>468</v>
      </c>
      <c r="T148" s="87" t="s">
        <v>808</v>
      </c>
      <c r="U148" s="87" t="s">
        <v>818</v>
      </c>
      <c r="V148" s="87" t="s">
        <v>809</v>
      </c>
      <c r="W148" s="87" t="str">
        <f t="shared" si="2"/>
        <v>XOF Nyugat-afrikai CFA frank (BCEAO)</v>
      </c>
    </row>
    <row r="149" spans="18:23" x14ac:dyDescent="0.2">
      <c r="R149" s="87" t="s">
        <v>469</v>
      </c>
      <c r="T149" s="87" t="s">
        <v>810</v>
      </c>
      <c r="U149" s="87" t="s">
        <v>818</v>
      </c>
      <c r="V149" s="87" t="s">
        <v>811</v>
      </c>
      <c r="W149" s="87" t="str">
        <f t="shared" si="2"/>
        <v>XPF Csendes-óceáni frank (CFP)</v>
      </c>
    </row>
    <row r="150" spans="18:23" x14ac:dyDescent="0.2">
      <c r="R150" s="87" t="s">
        <v>470</v>
      </c>
      <c r="T150" s="87" t="s">
        <v>812</v>
      </c>
      <c r="U150" s="87" t="s">
        <v>818</v>
      </c>
      <c r="V150" s="87" t="s">
        <v>813</v>
      </c>
      <c r="W150" s="87" t="str">
        <f t="shared" si="2"/>
        <v>YER Jemeni rial</v>
      </c>
    </row>
    <row r="151" spans="18:23" x14ac:dyDescent="0.2">
      <c r="R151" s="87" t="s">
        <v>471</v>
      </c>
      <c r="T151" s="87" t="s">
        <v>814</v>
      </c>
      <c r="U151" s="87" t="s">
        <v>818</v>
      </c>
      <c r="V151" s="87" t="s">
        <v>815</v>
      </c>
      <c r="W151" s="87" t="str">
        <f t="shared" si="2"/>
        <v>ZAR Dél-afrikai rand</v>
      </c>
    </row>
    <row r="152" spans="18:23" x14ac:dyDescent="0.2">
      <c r="R152" s="87" t="s">
        <v>472</v>
      </c>
      <c r="T152" s="87" t="s">
        <v>816</v>
      </c>
      <c r="U152" s="87" t="s">
        <v>818</v>
      </c>
      <c r="V152" s="87" t="s">
        <v>817</v>
      </c>
      <c r="W152" s="87" t="str">
        <f t="shared" si="2"/>
        <v>ZMW Zambiai kwacha</v>
      </c>
    </row>
    <row r="153" spans="18:23" x14ac:dyDescent="0.2">
      <c r="R153" s="87" t="s">
        <v>473</v>
      </c>
      <c r="W153" s="87" t="str">
        <f t="shared" si="2"/>
        <v/>
      </c>
    </row>
    <row r="154" spans="18:23" x14ac:dyDescent="0.2">
      <c r="R154" s="87" t="s">
        <v>474</v>
      </c>
      <c r="W154" s="87" t="str">
        <f t="shared" si="2"/>
        <v/>
      </c>
    </row>
    <row r="155" spans="18:23" x14ac:dyDescent="0.2">
      <c r="R155" s="87" t="s">
        <v>475</v>
      </c>
      <c r="W155" s="87" t="str">
        <f t="shared" si="2"/>
        <v/>
      </c>
    </row>
    <row r="156" spans="18:23" x14ac:dyDescent="0.2">
      <c r="R156" s="87" t="s">
        <v>476</v>
      </c>
      <c r="W156" s="87" t="str">
        <f t="shared" si="2"/>
        <v/>
      </c>
    </row>
    <row r="157" spans="18:23" x14ac:dyDescent="0.2">
      <c r="R157" s="87" t="s">
        <v>477</v>
      </c>
      <c r="W157" s="87" t="str">
        <f t="shared" si="2"/>
        <v/>
      </c>
    </row>
    <row r="158" spans="18:23" x14ac:dyDescent="0.2">
      <c r="R158" s="87" t="s">
        <v>478</v>
      </c>
      <c r="W158" s="87" t="str">
        <f t="shared" si="2"/>
        <v/>
      </c>
    </row>
    <row r="159" spans="18:23" x14ac:dyDescent="0.2">
      <c r="R159" s="87" t="s">
        <v>479</v>
      </c>
      <c r="W159" s="87" t="str">
        <f t="shared" si="2"/>
        <v/>
      </c>
    </row>
    <row r="160" spans="18:23" x14ac:dyDescent="0.2">
      <c r="R160" s="87" t="s">
        <v>480</v>
      </c>
      <c r="W160" s="87" t="str">
        <f t="shared" si="2"/>
        <v/>
      </c>
    </row>
    <row r="161" spans="18:23" x14ac:dyDescent="0.2">
      <c r="R161" s="87" t="s">
        <v>481</v>
      </c>
      <c r="W161" s="87" t="str">
        <f t="shared" si="2"/>
        <v/>
      </c>
    </row>
    <row r="162" spans="18:23" x14ac:dyDescent="0.2">
      <c r="R162" s="87" t="s">
        <v>482</v>
      </c>
      <c r="W162" s="87" t="str">
        <f t="shared" si="2"/>
        <v/>
      </c>
    </row>
    <row r="163" spans="18:23" x14ac:dyDescent="0.2">
      <c r="R163" s="87" t="s">
        <v>483</v>
      </c>
      <c r="W163" s="87" t="str">
        <f t="shared" si="2"/>
        <v/>
      </c>
    </row>
    <row r="164" spans="18:23" x14ac:dyDescent="0.2">
      <c r="R164" s="87" t="s">
        <v>484</v>
      </c>
      <c r="W164" s="87" t="str">
        <f t="shared" si="2"/>
        <v/>
      </c>
    </row>
    <row r="165" spans="18:23" x14ac:dyDescent="0.2">
      <c r="R165" s="87" t="s">
        <v>485</v>
      </c>
      <c r="W165" s="87" t="str">
        <f t="shared" si="2"/>
        <v/>
      </c>
    </row>
    <row r="166" spans="18:23" x14ac:dyDescent="0.2">
      <c r="R166" s="87" t="s">
        <v>486</v>
      </c>
      <c r="W166" s="87" t="str">
        <f t="shared" si="2"/>
        <v/>
      </c>
    </row>
    <row r="167" spans="18:23" x14ac:dyDescent="0.2">
      <c r="R167" s="87" t="s">
        <v>487</v>
      </c>
      <c r="W167" s="87" t="str">
        <f t="shared" si="2"/>
        <v/>
      </c>
    </row>
    <row r="168" spans="18:23" x14ac:dyDescent="0.2">
      <c r="R168" s="87" t="s">
        <v>488</v>
      </c>
      <c r="W168" s="87" t="str">
        <f t="shared" si="2"/>
        <v/>
      </c>
    </row>
    <row r="169" spans="18:23" x14ac:dyDescent="0.2">
      <c r="R169" s="87" t="s">
        <v>489</v>
      </c>
      <c r="W169" s="87" t="str">
        <f t="shared" si="2"/>
        <v/>
      </c>
    </row>
    <row r="170" spans="18:23" x14ac:dyDescent="0.2">
      <c r="R170" s="87" t="s">
        <v>490</v>
      </c>
      <c r="W170" s="87" t="str">
        <f t="shared" si="2"/>
        <v/>
      </c>
    </row>
    <row r="171" spans="18:23" x14ac:dyDescent="0.2">
      <c r="R171" s="87" t="s">
        <v>491</v>
      </c>
      <c r="W171" s="87" t="str">
        <f t="shared" si="2"/>
        <v/>
      </c>
    </row>
    <row r="172" spans="18:23" x14ac:dyDescent="0.2">
      <c r="R172" s="87" t="s">
        <v>492</v>
      </c>
      <c r="W172" s="87" t="str">
        <f t="shared" si="2"/>
        <v/>
      </c>
    </row>
    <row r="173" spans="18:23" x14ac:dyDescent="0.2">
      <c r="R173" s="87" t="s">
        <v>493</v>
      </c>
      <c r="W173" s="87" t="str">
        <f t="shared" si="2"/>
        <v/>
      </c>
    </row>
    <row r="174" spans="18:23" x14ac:dyDescent="0.2">
      <c r="R174" s="87" t="s">
        <v>494</v>
      </c>
      <c r="W174" s="87" t="str">
        <f t="shared" si="2"/>
        <v/>
      </c>
    </row>
    <row r="175" spans="18:23" x14ac:dyDescent="0.2">
      <c r="R175" s="87" t="s">
        <v>495</v>
      </c>
      <c r="W175" s="87" t="str">
        <f t="shared" si="2"/>
        <v/>
      </c>
    </row>
    <row r="176" spans="18:23" x14ac:dyDescent="0.2">
      <c r="R176" s="87" t="s">
        <v>496</v>
      </c>
      <c r="W176" s="87" t="str">
        <f t="shared" si="2"/>
        <v/>
      </c>
    </row>
    <row r="177" spans="18:23" x14ac:dyDescent="0.2">
      <c r="R177" s="87" t="s">
        <v>497</v>
      </c>
      <c r="W177" s="87" t="str">
        <f t="shared" si="2"/>
        <v/>
      </c>
    </row>
    <row r="178" spans="18:23" x14ac:dyDescent="0.2">
      <c r="R178" s="87" t="s">
        <v>498</v>
      </c>
      <c r="W178" s="87" t="str">
        <f t="shared" si="2"/>
        <v/>
      </c>
    </row>
    <row r="179" spans="18:23" x14ac:dyDescent="0.2">
      <c r="R179" s="87" t="s">
        <v>499</v>
      </c>
      <c r="W179" s="87" t="str">
        <f t="shared" si="2"/>
        <v/>
      </c>
    </row>
    <row r="180" spans="18:23" x14ac:dyDescent="0.2">
      <c r="R180" s="87" t="s">
        <v>500</v>
      </c>
      <c r="W180" s="87" t="str">
        <f t="shared" si="2"/>
        <v/>
      </c>
    </row>
    <row r="181" spans="18:23" x14ac:dyDescent="0.2">
      <c r="R181" s="87" t="s">
        <v>501</v>
      </c>
      <c r="W181" s="87" t="str">
        <f t="shared" si="2"/>
        <v/>
      </c>
    </row>
    <row r="182" spans="18:23" x14ac:dyDescent="0.2">
      <c r="R182" s="87" t="s">
        <v>502</v>
      </c>
      <c r="W182" s="87" t="str">
        <f t="shared" si="2"/>
        <v/>
      </c>
    </row>
    <row r="183" spans="18:23" x14ac:dyDescent="0.2">
      <c r="R183" s="87" t="s">
        <v>503</v>
      </c>
      <c r="W183" s="87" t="str">
        <f t="shared" si="2"/>
        <v/>
      </c>
    </row>
    <row r="184" spans="18:23" x14ac:dyDescent="0.2">
      <c r="R184" s="87" t="s">
        <v>504</v>
      </c>
      <c r="W184" s="87" t="str">
        <f t="shared" si="2"/>
        <v/>
      </c>
    </row>
    <row r="185" spans="18:23" x14ac:dyDescent="0.2">
      <c r="R185" s="87" t="s">
        <v>505</v>
      </c>
      <c r="W185" s="87" t="str">
        <f t="shared" si="2"/>
        <v/>
      </c>
    </row>
    <row r="186" spans="18:23" x14ac:dyDescent="0.2">
      <c r="R186" s="87" t="s">
        <v>506</v>
      </c>
      <c r="W186" s="87" t="str">
        <f t="shared" si="2"/>
        <v/>
      </c>
    </row>
    <row r="187" spans="18:23" x14ac:dyDescent="0.2">
      <c r="R187" s="87" t="s">
        <v>507</v>
      </c>
      <c r="W187" s="87" t="str">
        <f t="shared" si="2"/>
        <v/>
      </c>
    </row>
    <row r="188" spans="18:23" x14ac:dyDescent="0.2">
      <c r="R188" s="87" t="s">
        <v>508</v>
      </c>
      <c r="W188" s="87" t="str">
        <f t="shared" si="2"/>
        <v/>
      </c>
    </row>
    <row r="189" spans="18:23" x14ac:dyDescent="0.2">
      <c r="R189" s="87" t="s">
        <v>509</v>
      </c>
      <c r="W189" s="87" t="str">
        <f t="shared" si="2"/>
        <v/>
      </c>
    </row>
    <row r="190" spans="18:23" x14ac:dyDescent="0.2">
      <c r="R190" s="87" t="s">
        <v>510</v>
      </c>
      <c r="W190" s="87" t="str">
        <f t="shared" si="2"/>
        <v/>
      </c>
    </row>
    <row r="191" spans="18:23" x14ac:dyDescent="0.2">
      <c r="R191" s="87" t="s">
        <v>511</v>
      </c>
      <c r="W191" s="87" t="str">
        <f t="shared" si="2"/>
        <v/>
      </c>
    </row>
    <row r="192" spans="18:23" x14ac:dyDescent="0.2">
      <c r="R192" s="87" t="s">
        <v>512</v>
      </c>
      <c r="W192" s="87" t="str">
        <f t="shared" si="2"/>
        <v/>
      </c>
    </row>
    <row r="193" spans="18:23" x14ac:dyDescent="0.2">
      <c r="R193" s="87" t="s">
        <v>513</v>
      </c>
      <c r="W193" s="87" t="str">
        <f t="shared" si="2"/>
        <v/>
      </c>
    </row>
  </sheetData>
  <dataValidations count="3">
    <dataValidation type="list" allowBlank="1" showInputMessage="1" showErrorMessage="1" sqref="C1" xr:uid="{DE03C7BB-03C3-46D5-825F-84A2722A24FB}">
      <formula1>$R$2:$R$193</formula1>
    </dataValidation>
    <dataValidation type="list" allowBlank="1" showInputMessage="1" showErrorMessage="1" sqref="C2" xr:uid="{952E7120-D9B2-4993-882A-67D3F67BB5E4}">
      <formula1>$S$2:$S$9</formula1>
    </dataValidation>
    <dataValidation type="list" allowBlank="1" showInputMessage="1" showErrorMessage="1" sqref="C3:C4" xr:uid="{675B75E4-C357-49E7-AE5C-57673770EC77}">
      <formula1>$W$2:$W$152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28F6-3524-487E-8EA7-E4563F592705}">
  <dimension ref="A1:O17"/>
  <sheetViews>
    <sheetView workbookViewId="0">
      <selection activeCell="A29" sqref="A29"/>
    </sheetView>
  </sheetViews>
  <sheetFormatPr defaultRowHeight="15" x14ac:dyDescent="0.25"/>
  <cols>
    <col min="1" max="1" width="33.5703125" bestFit="1" customWidth="1"/>
    <col min="2" max="2" width="14.5703125" bestFit="1" customWidth="1"/>
    <col min="3" max="3" width="13.7109375" bestFit="1" customWidth="1"/>
    <col min="10" max="10" width="17.140625" bestFit="1" customWidth="1"/>
    <col min="11" max="11" width="27.85546875" bestFit="1" customWidth="1"/>
    <col min="12" max="12" width="21.7109375" bestFit="1" customWidth="1"/>
    <col min="13" max="13" width="33.85546875" bestFit="1" customWidth="1"/>
    <col min="14" max="14" width="28.42578125" bestFit="1" customWidth="1"/>
    <col min="15" max="15" width="12.28515625" bestFit="1" customWidth="1"/>
  </cols>
  <sheetData>
    <row r="1" spans="1:15" x14ac:dyDescent="0.25">
      <c r="A1" s="34" t="s">
        <v>235</v>
      </c>
      <c r="B1" s="34" t="s">
        <v>236</v>
      </c>
      <c r="C1" s="34" t="s">
        <v>237</v>
      </c>
      <c r="J1" s="34" t="s">
        <v>821</v>
      </c>
      <c r="K1" s="34" t="s">
        <v>845</v>
      </c>
      <c r="L1" s="34" t="s">
        <v>846</v>
      </c>
      <c r="M1" s="34" t="s">
        <v>847</v>
      </c>
      <c r="N1" s="34" t="s">
        <v>848</v>
      </c>
      <c r="O1" s="34" t="s">
        <v>822</v>
      </c>
    </row>
    <row r="2" spans="1:15" x14ac:dyDescent="0.25">
      <c r="A2" t="s">
        <v>843</v>
      </c>
      <c r="B2" t="s">
        <v>238</v>
      </c>
      <c r="C2" t="s">
        <v>163</v>
      </c>
      <c r="J2" t="s">
        <v>163</v>
      </c>
      <c r="K2" t="s">
        <v>163</v>
      </c>
      <c r="L2" t="s">
        <v>163</v>
      </c>
      <c r="M2" t="s">
        <v>163</v>
      </c>
      <c r="N2" t="s">
        <v>163</v>
      </c>
      <c r="O2" t="s">
        <v>163</v>
      </c>
    </row>
    <row r="3" spans="1:15" x14ac:dyDescent="0.25">
      <c r="A3" t="s">
        <v>844</v>
      </c>
      <c r="B3" t="s">
        <v>238</v>
      </c>
      <c r="J3" t="s">
        <v>825</v>
      </c>
      <c r="K3" t="s">
        <v>904</v>
      </c>
      <c r="L3" t="s">
        <v>830</v>
      </c>
      <c r="M3" t="s">
        <v>893</v>
      </c>
      <c r="N3" t="s">
        <v>894</v>
      </c>
      <c r="O3" t="s">
        <v>851</v>
      </c>
    </row>
    <row r="4" spans="1:15" x14ac:dyDescent="0.25">
      <c r="A4" t="s">
        <v>845</v>
      </c>
      <c r="B4" t="s">
        <v>238</v>
      </c>
      <c r="C4" t="s">
        <v>163</v>
      </c>
      <c r="J4" t="s">
        <v>826</v>
      </c>
      <c r="K4" t="s">
        <v>900</v>
      </c>
      <c r="L4" t="s">
        <v>828</v>
      </c>
      <c r="M4" t="s">
        <v>892</v>
      </c>
      <c r="N4" t="s">
        <v>895</v>
      </c>
      <c r="O4" t="s">
        <v>905</v>
      </c>
    </row>
    <row r="5" spans="1:15" x14ac:dyDescent="0.25">
      <c r="A5" t="s">
        <v>846</v>
      </c>
      <c r="B5" t="s">
        <v>238</v>
      </c>
      <c r="C5" t="s">
        <v>163</v>
      </c>
      <c r="J5" t="s">
        <v>907</v>
      </c>
      <c r="K5" t="s">
        <v>901</v>
      </c>
      <c r="L5" t="s">
        <v>897</v>
      </c>
      <c r="O5" t="s">
        <v>908</v>
      </c>
    </row>
    <row r="6" spans="1:15" x14ac:dyDescent="0.25">
      <c r="A6" t="s">
        <v>847</v>
      </c>
      <c r="B6" t="s">
        <v>238</v>
      </c>
      <c r="C6" t="s">
        <v>163</v>
      </c>
      <c r="J6" t="s">
        <v>823</v>
      </c>
      <c r="K6" t="s">
        <v>902</v>
      </c>
      <c r="L6" t="s">
        <v>898</v>
      </c>
      <c r="O6" t="s">
        <v>831</v>
      </c>
    </row>
    <row r="7" spans="1:15" x14ac:dyDescent="0.25">
      <c r="A7" t="s">
        <v>848</v>
      </c>
      <c r="B7" t="s">
        <v>238</v>
      </c>
      <c r="C7" t="s">
        <v>163</v>
      </c>
      <c r="J7" t="s">
        <v>824</v>
      </c>
      <c r="K7" t="s">
        <v>903</v>
      </c>
      <c r="L7" t="s">
        <v>829</v>
      </c>
      <c r="O7" t="s">
        <v>832</v>
      </c>
    </row>
    <row r="8" spans="1:15" x14ac:dyDescent="0.25">
      <c r="A8" t="s">
        <v>849</v>
      </c>
      <c r="B8" t="s">
        <v>238</v>
      </c>
      <c r="C8" t="s">
        <v>163</v>
      </c>
      <c r="J8" t="s">
        <v>827</v>
      </c>
      <c r="K8" t="s">
        <v>899</v>
      </c>
      <c r="L8" t="s">
        <v>896</v>
      </c>
      <c r="O8" t="s">
        <v>833</v>
      </c>
    </row>
    <row r="9" spans="1:15" x14ac:dyDescent="0.25">
      <c r="A9" t="s">
        <v>850</v>
      </c>
      <c r="B9" t="s">
        <v>238</v>
      </c>
      <c r="J9" t="s">
        <v>906</v>
      </c>
      <c r="O9" t="s">
        <v>834</v>
      </c>
    </row>
    <row r="10" spans="1:15" x14ac:dyDescent="0.25">
      <c r="O10" t="s">
        <v>835</v>
      </c>
    </row>
    <row r="11" spans="1:15" x14ac:dyDescent="0.25">
      <c r="O11" t="s">
        <v>836</v>
      </c>
    </row>
    <row r="12" spans="1:15" x14ac:dyDescent="0.25">
      <c r="O12" t="s">
        <v>837</v>
      </c>
    </row>
    <row r="13" spans="1:15" x14ac:dyDescent="0.25">
      <c r="O13" t="s">
        <v>838</v>
      </c>
    </row>
    <row r="14" spans="1:15" x14ac:dyDescent="0.25">
      <c r="O14" t="s">
        <v>839</v>
      </c>
    </row>
    <row r="15" spans="1:15" x14ac:dyDescent="0.25">
      <c r="O15" t="s">
        <v>840</v>
      </c>
    </row>
    <row r="16" spans="1:15" x14ac:dyDescent="0.25">
      <c r="O16" t="s">
        <v>841</v>
      </c>
    </row>
    <row r="17" spans="15:15" x14ac:dyDescent="0.25">
      <c r="O17" t="s">
        <v>842</v>
      </c>
    </row>
  </sheetData>
  <sortState xmlns:xlrd2="http://schemas.microsoft.com/office/spreadsheetml/2017/richdata2" ref="J3:J9">
    <sortCondition ref="J3:J9"/>
  </sortState>
  <phoneticPr fontId="6" type="noConversion"/>
  <dataValidations count="6">
    <dataValidation type="list" showInputMessage="1" showErrorMessage="1" sqref="C2" xr:uid="{D1CD5D9E-EA4F-4D2D-96CA-D4736845C364}">
      <formula1>$J$2:$J$9</formula1>
    </dataValidation>
    <dataValidation type="list" showInputMessage="1" showErrorMessage="1" sqref="C4" xr:uid="{6D6A7EB5-AF10-46DA-B39D-058647281F5F}">
      <formula1>$K$2:$K$8</formula1>
    </dataValidation>
    <dataValidation type="list" showInputMessage="1" showErrorMessage="1" sqref="C6" xr:uid="{A09FAE2E-1531-4DDD-A340-C61BC8F3681C}">
      <formula1>$M$2:$M$6</formula1>
    </dataValidation>
    <dataValidation type="list" allowBlank="1" showInputMessage="1" showErrorMessage="1" sqref="C8" xr:uid="{7C3817DF-B4B7-481C-98FB-85D5D867EAEB}">
      <formula1>$O$2:$O$17</formula1>
    </dataValidation>
    <dataValidation type="list" showInputMessage="1" showErrorMessage="1" sqref="C7" xr:uid="{16A0E0AD-2DD0-4127-BE58-BD02E8512631}">
      <formula1>$N$2:$N$44</formula1>
    </dataValidation>
    <dataValidation type="list" showInputMessage="1" showErrorMessage="1" sqref="C5" xr:uid="{2F5B55E1-3726-416A-90FE-FCEA5641E4B9}">
      <formula1>$L$2:$L$8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E8A5-7A1B-4EAE-A735-9968D9407E3B}">
  <sheetPr>
    <tabColor theme="9"/>
  </sheetPr>
  <dimension ref="A1:S70"/>
  <sheetViews>
    <sheetView zoomScale="70" zoomScaleNormal="70" workbookViewId="0">
      <pane ySplit="1" topLeftCell="A49" activePane="bottomLeft" state="frozen"/>
      <selection pane="bottomLeft" activeCell="D71" sqref="D71"/>
    </sheetView>
  </sheetViews>
  <sheetFormatPr defaultColWidth="8.85546875" defaultRowHeight="15" x14ac:dyDescent="0.2"/>
  <cols>
    <col min="1" max="1" width="28.28515625" style="3" customWidth="1"/>
    <col min="2" max="2" width="34" style="3" customWidth="1"/>
    <col min="3" max="3" width="36.85546875" style="3" customWidth="1"/>
    <col min="4" max="7" width="30.7109375" style="3" customWidth="1"/>
    <col min="8" max="19" width="13.5703125" style="85" customWidth="1"/>
    <col min="20" max="16384" width="8.85546875" style="3"/>
  </cols>
  <sheetData>
    <row r="1" spans="1:19" s="2" customFormat="1" ht="73.150000000000006" customHeight="1" x14ac:dyDescent="0.25">
      <c r="A1" s="1" t="s">
        <v>176</v>
      </c>
      <c r="B1" s="1" t="s">
        <v>177</v>
      </c>
      <c r="C1" s="1" t="s">
        <v>11</v>
      </c>
      <c r="D1" s="1" t="s">
        <v>12</v>
      </c>
      <c r="E1" s="1" t="s">
        <v>171</v>
      </c>
      <c r="F1" s="1" t="s">
        <v>172</v>
      </c>
      <c r="G1" s="1" t="s">
        <v>165</v>
      </c>
      <c r="H1" s="1" t="s">
        <v>13</v>
      </c>
      <c r="I1" s="1" t="s">
        <v>17</v>
      </c>
      <c r="J1" s="1" t="s">
        <v>15</v>
      </c>
      <c r="K1" s="1" t="s">
        <v>16</v>
      </c>
      <c r="L1" s="1" t="s">
        <v>14</v>
      </c>
      <c r="M1" s="1" t="s">
        <v>166</v>
      </c>
      <c r="N1" s="1" t="s">
        <v>19</v>
      </c>
      <c r="O1" s="1" t="s">
        <v>20</v>
      </c>
      <c r="P1" s="1" t="s">
        <v>21</v>
      </c>
      <c r="Q1" s="42" t="s">
        <v>113</v>
      </c>
      <c r="R1" s="42" t="s">
        <v>114</v>
      </c>
      <c r="S1" s="42" t="s">
        <v>115</v>
      </c>
    </row>
    <row r="2" spans="1:19" s="2" customFormat="1" ht="25.5" x14ac:dyDescent="0.25">
      <c r="A2" s="220"/>
      <c r="B2" s="221" t="s">
        <v>226</v>
      </c>
      <c r="C2" s="222"/>
      <c r="D2" s="9" t="s">
        <v>47</v>
      </c>
      <c r="E2" s="43"/>
      <c r="F2" s="43"/>
      <c r="G2" s="43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8"/>
    </row>
    <row r="3" spans="1:19" s="2" customFormat="1" ht="25.5" x14ac:dyDescent="0.25">
      <c r="A3" s="220"/>
      <c r="B3" s="223" t="s">
        <v>1</v>
      </c>
      <c r="C3" s="224"/>
      <c r="D3" s="45" t="s">
        <v>47</v>
      </c>
      <c r="E3" s="43"/>
      <c r="F3" s="43"/>
      <c r="G3" s="43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8"/>
    </row>
    <row r="4" spans="1:19" s="2" customFormat="1" ht="25.5" x14ac:dyDescent="0.25">
      <c r="A4" s="220"/>
      <c r="B4" s="225" t="s">
        <v>2</v>
      </c>
      <c r="C4" s="226"/>
      <c r="D4" s="47" t="s">
        <v>47</v>
      </c>
      <c r="E4" s="43"/>
      <c r="F4" s="43"/>
      <c r="G4" s="43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8"/>
    </row>
    <row r="5" spans="1:19" s="2" customFormat="1" ht="25.5" x14ac:dyDescent="0.25">
      <c r="A5" s="220"/>
      <c r="B5" s="227" t="s">
        <v>27</v>
      </c>
      <c r="C5" s="228"/>
      <c r="D5" s="48" t="s">
        <v>47</v>
      </c>
      <c r="E5" s="43"/>
      <c r="F5" s="43"/>
      <c r="G5" s="43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8"/>
    </row>
    <row r="6" spans="1:19" s="2" customFormat="1" ht="25.5" x14ac:dyDescent="0.25">
      <c r="A6" s="220"/>
      <c r="B6" s="229" t="s">
        <v>9</v>
      </c>
      <c r="C6" s="230"/>
      <c r="D6" s="49" t="s">
        <v>47</v>
      </c>
      <c r="E6" s="43"/>
      <c r="F6" s="43"/>
      <c r="G6" s="43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8"/>
    </row>
    <row r="7" spans="1:19" s="2" customFormat="1" x14ac:dyDescent="0.25">
      <c r="A7" s="256" t="s">
        <v>56</v>
      </c>
      <c r="B7" s="206" t="s">
        <v>163</v>
      </c>
      <c r="C7" s="207"/>
      <c r="D7" s="37"/>
      <c r="E7" s="208" t="s">
        <v>164</v>
      </c>
      <c r="F7" s="81"/>
      <c r="G7" s="81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80"/>
    </row>
    <row r="8" spans="1:19" s="2" customFormat="1" x14ac:dyDescent="0.25">
      <c r="A8" s="257"/>
      <c r="B8" s="206" t="s">
        <v>58</v>
      </c>
      <c r="C8" s="207"/>
      <c r="D8" s="37"/>
      <c r="E8" s="209"/>
      <c r="F8" s="82"/>
      <c r="G8" s="82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</row>
    <row r="9" spans="1:19" s="2" customFormat="1" x14ac:dyDescent="0.25">
      <c r="A9" s="257"/>
      <c r="B9" s="206" t="s">
        <v>59</v>
      </c>
      <c r="C9" s="207"/>
      <c r="D9" s="37"/>
      <c r="E9" s="209"/>
      <c r="F9" s="82"/>
      <c r="G9" s="82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80"/>
    </row>
    <row r="10" spans="1:19" s="2" customFormat="1" x14ac:dyDescent="0.25">
      <c r="A10" s="257"/>
      <c r="B10" s="206" t="s">
        <v>60</v>
      </c>
      <c r="C10" s="207"/>
      <c r="D10" s="37"/>
      <c r="E10" s="209"/>
      <c r="F10" s="82"/>
      <c r="G10" s="82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80"/>
    </row>
    <row r="11" spans="1:19" s="2" customFormat="1" x14ac:dyDescent="0.25">
      <c r="A11" s="257"/>
      <c r="B11" s="206" t="s">
        <v>61</v>
      </c>
      <c r="C11" s="207"/>
      <c r="D11" s="37"/>
      <c r="E11" s="209"/>
      <c r="F11" s="82"/>
      <c r="G11" s="82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80"/>
    </row>
    <row r="12" spans="1:19" s="2" customFormat="1" x14ac:dyDescent="0.25">
      <c r="A12" s="257"/>
      <c r="B12" s="206" t="s">
        <v>62</v>
      </c>
      <c r="C12" s="207"/>
      <c r="D12" s="37"/>
      <c r="E12" s="209"/>
      <c r="F12" s="82"/>
      <c r="G12" s="82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80"/>
    </row>
    <row r="13" spans="1:19" s="2" customFormat="1" x14ac:dyDescent="0.25">
      <c r="A13" s="257"/>
      <c r="B13" s="206" t="s">
        <v>63</v>
      </c>
      <c r="C13" s="207"/>
      <c r="D13" s="37"/>
      <c r="E13" s="209"/>
      <c r="F13" s="82"/>
      <c r="G13" s="82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80"/>
    </row>
    <row r="14" spans="1:19" s="2" customFormat="1" x14ac:dyDescent="0.25">
      <c r="A14" s="257"/>
      <c r="B14" s="206" t="s">
        <v>64</v>
      </c>
      <c r="C14" s="207"/>
      <c r="D14" s="37"/>
      <c r="E14" s="209"/>
      <c r="F14" s="82"/>
      <c r="G14" s="82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80"/>
    </row>
    <row r="15" spans="1:19" s="2" customFormat="1" x14ac:dyDescent="0.25">
      <c r="A15" s="257"/>
      <c r="B15" s="206" t="s">
        <v>65</v>
      </c>
      <c r="C15" s="207"/>
      <c r="D15" s="37"/>
      <c r="E15" s="209"/>
      <c r="F15" s="82"/>
      <c r="G15" s="82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80"/>
    </row>
    <row r="16" spans="1:19" s="2" customFormat="1" x14ac:dyDescent="0.25">
      <c r="A16" s="257"/>
      <c r="B16" s="206" t="s">
        <v>66</v>
      </c>
      <c r="C16" s="207"/>
      <c r="D16" s="37"/>
      <c r="E16" s="209"/>
      <c r="F16" s="82"/>
      <c r="G16" s="82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80"/>
    </row>
    <row r="17" spans="1:19" s="2" customFormat="1" x14ac:dyDescent="0.25">
      <c r="A17" s="257"/>
      <c r="B17" s="206" t="s">
        <v>67</v>
      </c>
      <c r="C17" s="207"/>
      <c r="D17" s="37"/>
      <c r="E17" s="209"/>
      <c r="F17" s="82"/>
      <c r="G17" s="82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80"/>
    </row>
    <row r="18" spans="1:19" s="2" customFormat="1" x14ac:dyDescent="0.25">
      <c r="A18" s="258"/>
      <c r="B18" s="206" t="s">
        <v>68</v>
      </c>
      <c r="C18" s="207"/>
      <c r="D18" s="37"/>
      <c r="E18" s="210"/>
      <c r="F18" s="83"/>
      <c r="G18" s="83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80"/>
    </row>
    <row r="19" spans="1:19" s="162" customFormat="1" ht="30" customHeight="1" x14ac:dyDescent="0.25">
      <c r="A19" s="249" t="str">
        <f>B2</f>
        <v>Rekrutálás</v>
      </c>
      <c r="B19" s="250"/>
      <c r="C19" s="155"/>
      <c r="D19" s="156"/>
      <c r="E19" s="157"/>
      <c r="F19" s="157"/>
      <c r="G19" s="158"/>
      <c r="H19" s="159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1"/>
    </row>
    <row r="20" spans="1:19" s="164" customFormat="1" ht="76.5" x14ac:dyDescent="0.25">
      <c r="A20" s="251"/>
      <c r="B20" s="252"/>
      <c r="C20" s="163" t="s">
        <v>860</v>
      </c>
      <c r="D20" s="157" t="s">
        <v>82</v>
      </c>
      <c r="E20" s="158" t="s">
        <v>164</v>
      </c>
      <c r="F20" s="158"/>
      <c r="G20" s="158" t="s">
        <v>167</v>
      </c>
      <c r="H20" s="86" t="s">
        <v>154</v>
      </c>
      <c r="I20" s="86">
        <v>1</v>
      </c>
      <c r="J20" s="86"/>
      <c r="K20" s="86"/>
      <c r="L20" s="86"/>
      <c r="M20" s="86">
        <v>3</v>
      </c>
      <c r="N20" s="86"/>
      <c r="O20" s="86"/>
      <c r="P20" s="86">
        <v>2</v>
      </c>
      <c r="Q20" s="86"/>
      <c r="R20" s="86"/>
      <c r="S20" s="86"/>
    </row>
    <row r="21" spans="1:19" s="164" customFormat="1" ht="51" x14ac:dyDescent="0.25">
      <c r="A21" s="251"/>
      <c r="B21" s="252"/>
      <c r="C21" s="163" t="s">
        <v>861</v>
      </c>
      <c r="D21" s="157" t="s">
        <v>83</v>
      </c>
      <c r="E21" s="158" t="s">
        <v>164</v>
      </c>
      <c r="F21" s="158"/>
      <c r="G21" s="158" t="s">
        <v>167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</row>
    <row r="22" spans="1:19" s="164" customFormat="1" ht="51" x14ac:dyDescent="0.25">
      <c r="A22" s="253"/>
      <c r="B22" s="254"/>
      <c r="C22" s="163" t="s">
        <v>862</v>
      </c>
      <c r="D22" s="157" t="s">
        <v>85</v>
      </c>
      <c r="E22" s="158" t="s">
        <v>164</v>
      </c>
      <c r="F22" s="158"/>
      <c r="G22" s="158" t="s">
        <v>167</v>
      </c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</row>
    <row r="23" spans="1:19" s="164" customFormat="1" ht="51" x14ac:dyDescent="0.25">
      <c r="A23" s="211" t="s">
        <v>1</v>
      </c>
      <c r="B23" s="202" t="s">
        <v>130</v>
      </c>
      <c r="C23" s="214" t="s">
        <v>870</v>
      </c>
      <c r="D23" s="200" t="s">
        <v>35</v>
      </c>
      <c r="E23" s="200" t="s">
        <v>175</v>
      </c>
      <c r="F23" s="106" t="s">
        <v>173</v>
      </c>
      <c r="G23" s="106"/>
      <c r="H23" s="100" t="s">
        <v>168</v>
      </c>
      <c r="I23" s="165"/>
      <c r="J23" s="165"/>
      <c r="K23" s="165"/>
      <c r="L23" s="165"/>
      <c r="M23" s="100" t="s">
        <v>187</v>
      </c>
      <c r="N23" s="165"/>
      <c r="O23" s="165">
        <v>1</v>
      </c>
      <c r="P23" s="165" t="s">
        <v>170</v>
      </c>
      <c r="Q23" s="165"/>
      <c r="R23" s="165"/>
      <c r="S23" s="165"/>
    </row>
    <row r="24" spans="1:19" s="138" customFormat="1" ht="51" x14ac:dyDescent="0.25">
      <c r="A24" s="212"/>
      <c r="B24" s="203"/>
      <c r="C24" s="215"/>
      <c r="D24" s="201"/>
      <c r="E24" s="201"/>
      <c r="F24" s="106" t="s">
        <v>174</v>
      </c>
      <c r="G24" s="106"/>
      <c r="H24" s="100" t="s">
        <v>169</v>
      </c>
      <c r="I24" s="165"/>
      <c r="J24" s="165"/>
      <c r="K24" s="165"/>
      <c r="L24" s="165"/>
      <c r="M24" s="100" t="s">
        <v>188</v>
      </c>
      <c r="N24" s="165"/>
      <c r="O24" s="165">
        <v>1</v>
      </c>
      <c r="P24" s="165">
        <v>0</v>
      </c>
      <c r="Q24" s="165"/>
      <c r="R24" s="165"/>
      <c r="S24" s="165"/>
    </row>
    <row r="25" spans="1:19" s="138" customFormat="1" ht="38.25" x14ac:dyDescent="0.25">
      <c r="A25" s="212"/>
      <c r="B25" s="203"/>
      <c r="C25" s="202" t="s">
        <v>858</v>
      </c>
      <c r="D25" s="200" t="s">
        <v>146</v>
      </c>
      <c r="E25" s="200" t="s">
        <v>164</v>
      </c>
      <c r="F25" s="200" t="s">
        <v>181</v>
      </c>
      <c r="G25" s="200" t="s">
        <v>178</v>
      </c>
      <c r="H25" s="100"/>
      <c r="I25" s="165"/>
      <c r="J25" s="165"/>
      <c r="K25" s="165"/>
      <c r="L25" s="165"/>
      <c r="M25" s="100" t="s">
        <v>179</v>
      </c>
      <c r="N25" s="165"/>
      <c r="O25" s="165"/>
      <c r="P25" s="165"/>
      <c r="Q25" s="165"/>
      <c r="R25" s="165"/>
      <c r="S25" s="165"/>
    </row>
    <row r="26" spans="1:19" s="138" customFormat="1" ht="25.5" x14ac:dyDescent="0.25">
      <c r="A26" s="212"/>
      <c r="B26" s="203"/>
      <c r="C26" s="204"/>
      <c r="D26" s="201"/>
      <c r="E26" s="201"/>
      <c r="F26" s="201"/>
      <c r="G26" s="201"/>
      <c r="H26" s="165"/>
      <c r="I26" s="165"/>
      <c r="J26" s="165"/>
      <c r="K26" s="165"/>
      <c r="L26" s="165"/>
      <c r="M26" s="100" t="s">
        <v>180</v>
      </c>
      <c r="N26" s="165"/>
      <c r="O26" s="165"/>
      <c r="P26" s="165"/>
      <c r="Q26" s="165"/>
      <c r="R26" s="165"/>
      <c r="S26" s="165"/>
    </row>
    <row r="27" spans="1:19" s="138" customFormat="1" ht="100.15" customHeight="1" x14ac:dyDescent="0.25">
      <c r="A27" s="212"/>
      <c r="B27" s="203"/>
      <c r="C27" s="94" t="s">
        <v>859</v>
      </c>
      <c r="D27" s="106" t="s">
        <v>147</v>
      </c>
      <c r="E27" s="106" t="s">
        <v>164</v>
      </c>
      <c r="F27" s="106"/>
      <c r="G27" s="106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</row>
    <row r="28" spans="1:19" s="138" customFormat="1" x14ac:dyDescent="0.25">
      <c r="A28" s="212"/>
      <c r="B28" s="203"/>
      <c r="C28" s="202" t="s">
        <v>852</v>
      </c>
      <c r="D28" s="200" t="s">
        <v>148</v>
      </c>
      <c r="E28" s="200" t="s">
        <v>164</v>
      </c>
      <c r="F28" s="200" t="s">
        <v>182</v>
      </c>
      <c r="G28" s="106" t="s">
        <v>183</v>
      </c>
      <c r="H28" s="100"/>
      <c r="I28" s="165"/>
      <c r="J28" s="165"/>
      <c r="K28" s="165"/>
      <c r="L28" s="165"/>
      <c r="M28" s="165"/>
      <c r="N28" s="100"/>
      <c r="O28" s="165"/>
      <c r="P28" s="165"/>
      <c r="Q28" s="165"/>
      <c r="R28" s="165"/>
      <c r="S28" s="165"/>
    </row>
    <row r="29" spans="1:19" s="138" customFormat="1" x14ac:dyDescent="0.25">
      <c r="A29" s="212"/>
      <c r="B29" s="203"/>
      <c r="C29" s="203"/>
      <c r="D29" s="205"/>
      <c r="E29" s="205"/>
      <c r="F29" s="201"/>
      <c r="G29" s="106" t="s">
        <v>184</v>
      </c>
      <c r="H29" s="100"/>
      <c r="I29" s="165"/>
      <c r="J29" s="165"/>
      <c r="K29" s="165"/>
      <c r="L29" s="165"/>
      <c r="M29" s="165"/>
      <c r="N29" s="100"/>
      <c r="O29" s="165"/>
      <c r="P29" s="165"/>
      <c r="Q29" s="165"/>
      <c r="R29" s="165"/>
      <c r="S29" s="165"/>
    </row>
    <row r="30" spans="1:19" s="138" customFormat="1" ht="100.15" customHeight="1" x14ac:dyDescent="0.25">
      <c r="A30" s="212"/>
      <c r="B30" s="203"/>
      <c r="C30" s="203"/>
      <c r="D30" s="205"/>
      <c r="E30" s="205"/>
      <c r="F30" s="200" t="s">
        <v>185</v>
      </c>
      <c r="G30" s="106" t="s">
        <v>183</v>
      </c>
      <c r="H30" s="100" t="s">
        <v>223</v>
      </c>
      <c r="I30" s="165"/>
      <c r="J30" s="165"/>
      <c r="K30" s="165"/>
      <c r="L30" s="165"/>
      <c r="M30" s="165"/>
      <c r="N30" s="100" t="s">
        <v>196</v>
      </c>
      <c r="O30" s="165"/>
      <c r="P30" s="165"/>
      <c r="Q30" s="165"/>
      <c r="R30" s="165"/>
      <c r="S30" s="165"/>
    </row>
    <row r="31" spans="1:19" s="138" customFormat="1" ht="76.5" x14ac:dyDescent="0.25">
      <c r="A31" s="212"/>
      <c r="B31" s="203"/>
      <c r="C31" s="203"/>
      <c r="D31" s="205"/>
      <c r="E31" s="205"/>
      <c r="F31" s="201"/>
      <c r="G31" s="106" t="s">
        <v>184</v>
      </c>
      <c r="H31" s="100" t="s">
        <v>223</v>
      </c>
      <c r="I31" s="165"/>
      <c r="J31" s="165"/>
      <c r="K31" s="165"/>
      <c r="L31" s="165"/>
      <c r="M31" s="165"/>
      <c r="N31" s="100" t="s">
        <v>197</v>
      </c>
      <c r="O31" s="165"/>
      <c r="P31" s="165"/>
      <c r="Q31" s="165"/>
      <c r="R31" s="165"/>
      <c r="S31" s="165"/>
    </row>
    <row r="32" spans="1:19" s="138" customFormat="1" ht="76.5" x14ac:dyDescent="0.25">
      <c r="A32" s="212"/>
      <c r="B32" s="203"/>
      <c r="C32" s="203"/>
      <c r="D32" s="205"/>
      <c r="E32" s="205"/>
      <c r="F32" s="200" t="s">
        <v>186</v>
      </c>
      <c r="G32" s="106" t="s">
        <v>183</v>
      </c>
      <c r="H32" s="100" t="s">
        <v>225</v>
      </c>
      <c r="I32" s="165"/>
      <c r="J32" s="165"/>
      <c r="K32" s="165"/>
      <c r="L32" s="165"/>
      <c r="M32" s="165"/>
      <c r="N32" s="100" t="s">
        <v>196</v>
      </c>
      <c r="O32" s="165"/>
      <c r="P32" s="165"/>
      <c r="Q32" s="165"/>
      <c r="R32" s="165"/>
      <c r="S32" s="165"/>
    </row>
    <row r="33" spans="1:19" s="138" customFormat="1" ht="76.5" x14ac:dyDescent="0.25">
      <c r="A33" s="212"/>
      <c r="B33" s="203"/>
      <c r="C33" s="204"/>
      <c r="D33" s="201"/>
      <c r="E33" s="201"/>
      <c r="F33" s="201"/>
      <c r="G33" s="106" t="s">
        <v>184</v>
      </c>
      <c r="H33" s="100" t="s">
        <v>225</v>
      </c>
      <c r="I33" s="165"/>
      <c r="J33" s="165"/>
      <c r="K33" s="165"/>
      <c r="L33" s="165"/>
      <c r="M33" s="165"/>
      <c r="N33" s="100" t="s">
        <v>197</v>
      </c>
      <c r="O33" s="165"/>
      <c r="P33" s="165"/>
      <c r="Q33" s="165"/>
      <c r="R33" s="165"/>
      <c r="S33" s="165"/>
    </row>
    <row r="34" spans="1:19" s="138" customFormat="1" x14ac:dyDescent="0.25">
      <c r="A34" s="212"/>
      <c r="B34" s="203"/>
      <c r="C34" s="202" t="s">
        <v>863</v>
      </c>
      <c r="D34" s="200" t="s">
        <v>149</v>
      </c>
      <c r="E34" s="200" t="s">
        <v>164</v>
      </c>
      <c r="F34" s="106" t="s">
        <v>189</v>
      </c>
      <c r="G34" s="106" t="s">
        <v>190</v>
      </c>
      <c r="H34" s="100"/>
      <c r="I34" s="165"/>
      <c r="J34" s="165"/>
      <c r="K34" s="165"/>
      <c r="L34" s="165"/>
      <c r="M34" s="165"/>
      <c r="N34" s="100"/>
      <c r="O34" s="165"/>
      <c r="P34" s="165"/>
      <c r="Q34" s="165"/>
      <c r="R34" s="165"/>
      <c r="S34" s="165"/>
    </row>
    <row r="35" spans="1:19" s="138" customFormat="1" ht="25.5" x14ac:dyDescent="0.25">
      <c r="A35" s="212"/>
      <c r="B35" s="203"/>
      <c r="C35" s="203"/>
      <c r="D35" s="205"/>
      <c r="E35" s="205"/>
      <c r="F35" s="106" t="s">
        <v>192</v>
      </c>
      <c r="G35" s="106" t="s">
        <v>191</v>
      </c>
      <c r="H35" s="100"/>
      <c r="I35" s="165"/>
      <c r="J35" s="165"/>
      <c r="K35" s="165"/>
      <c r="L35" s="165"/>
      <c r="M35" s="165"/>
      <c r="N35" s="100"/>
      <c r="O35" s="165"/>
      <c r="P35" s="165"/>
      <c r="Q35" s="165"/>
      <c r="R35" s="165"/>
      <c r="S35" s="165"/>
    </row>
    <row r="36" spans="1:19" s="138" customFormat="1" ht="43.15" customHeight="1" x14ac:dyDescent="0.25">
      <c r="A36" s="212"/>
      <c r="B36" s="203"/>
      <c r="C36" s="204"/>
      <c r="D36" s="201"/>
      <c r="E36" s="201"/>
      <c r="F36" s="106" t="s">
        <v>193</v>
      </c>
      <c r="G36" s="106" t="s">
        <v>194</v>
      </c>
      <c r="H36" s="165"/>
      <c r="I36" s="165"/>
      <c r="J36" s="165"/>
      <c r="K36" s="165"/>
      <c r="L36" s="165"/>
      <c r="M36" s="100" t="s">
        <v>195</v>
      </c>
      <c r="N36" s="165"/>
      <c r="O36" s="165"/>
      <c r="P36" s="165"/>
      <c r="Q36" s="165"/>
      <c r="R36" s="165"/>
      <c r="S36" s="165"/>
    </row>
    <row r="37" spans="1:19" s="138" customFormat="1" ht="43.15" customHeight="1" x14ac:dyDescent="0.25">
      <c r="A37" s="212"/>
      <c r="B37" s="203"/>
      <c r="C37" s="214" t="s">
        <v>864</v>
      </c>
      <c r="D37" s="200" t="s">
        <v>150</v>
      </c>
      <c r="E37" s="200" t="s">
        <v>164</v>
      </c>
      <c r="F37" s="106" t="s">
        <v>222</v>
      </c>
      <c r="G37" s="106"/>
      <c r="H37" s="165"/>
      <c r="I37" s="165"/>
      <c r="J37" s="165"/>
      <c r="K37" s="165"/>
      <c r="L37" s="165"/>
      <c r="M37" s="100"/>
      <c r="N37" s="165"/>
      <c r="O37" s="165"/>
      <c r="P37" s="165"/>
      <c r="Q37" s="165"/>
      <c r="R37" s="165"/>
      <c r="S37" s="165"/>
    </row>
    <row r="38" spans="1:19" s="138" customFormat="1" ht="51" x14ac:dyDescent="0.25">
      <c r="A38" s="212"/>
      <c r="B38" s="204"/>
      <c r="C38" s="215"/>
      <c r="D38" s="201"/>
      <c r="E38" s="201"/>
      <c r="F38" s="106" t="s">
        <v>221</v>
      </c>
      <c r="G38" s="106"/>
      <c r="H38" s="100" t="s">
        <v>223</v>
      </c>
      <c r="I38" s="165"/>
      <c r="J38" s="165"/>
      <c r="K38" s="165"/>
      <c r="L38" s="165"/>
      <c r="M38" s="100" t="s">
        <v>224</v>
      </c>
      <c r="N38" s="165"/>
      <c r="O38" s="165"/>
      <c r="P38" s="165"/>
      <c r="Q38" s="165"/>
      <c r="R38" s="165"/>
      <c r="S38" s="165"/>
    </row>
    <row r="39" spans="1:19" s="138" customFormat="1" ht="15" customHeight="1" x14ac:dyDescent="0.25">
      <c r="A39" s="212"/>
      <c r="B39" s="255" t="s">
        <v>156</v>
      </c>
      <c r="C39" s="166" t="s">
        <v>865</v>
      </c>
      <c r="D39" s="106" t="s">
        <v>70</v>
      </c>
      <c r="E39" s="106" t="s">
        <v>175</v>
      </c>
      <c r="F39" s="106"/>
      <c r="G39" s="106"/>
      <c r="H39" s="165"/>
      <c r="I39" s="247">
        <v>1</v>
      </c>
      <c r="J39" s="165"/>
      <c r="K39" s="165"/>
      <c r="L39" s="165"/>
      <c r="M39" s="245" t="s">
        <v>155</v>
      </c>
      <c r="N39" s="165"/>
      <c r="O39" s="165"/>
      <c r="P39" s="247">
        <v>2</v>
      </c>
      <c r="Q39" s="165"/>
      <c r="R39" s="165"/>
      <c r="S39" s="165"/>
    </row>
    <row r="40" spans="1:19" s="138" customFormat="1" ht="38.25" x14ac:dyDescent="0.25">
      <c r="A40" s="212"/>
      <c r="B40" s="255"/>
      <c r="C40" s="166" t="s">
        <v>866</v>
      </c>
      <c r="D40" s="106" t="s">
        <v>71</v>
      </c>
      <c r="E40" s="106" t="s">
        <v>175</v>
      </c>
      <c r="F40" s="106"/>
      <c r="G40" s="106"/>
      <c r="H40" s="100" t="s">
        <v>215</v>
      </c>
      <c r="I40" s="248"/>
      <c r="J40" s="165"/>
      <c r="K40" s="165"/>
      <c r="L40" s="165"/>
      <c r="M40" s="246"/>
      <c r="N40" s="165"/>
      <c r="O40" s="165"/>
      <c r="P40" s="248"/>
      <c r="Q40" s="165"/>
      <c r="R40" s="165"/>
      <c r="S40" s="165"/>
    </row>
    <row r="41" spans="1:19" s="138" customFormat="1" ht="51" x14ac:dyDescent="0.25">
      <c r="A41" s="212"/>
      <c r="B41" s="255"/>
      <c r="C41" s="166" t="s">
        <v>867</v>
      </c>
      <c r="D41" s="106" t="s">
        <v>25</v>
      </c>
      <c r="E41" s="106" t="s">
        <v>164</v>
      </c>
      <c r="F41" s="106"/>
      <c r="G41" s="106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</row>
    <row r="42" spans="1:19" s="169" customFormat="1" ht="15.75" x14ac:dyDescent="0.25">
      <c r="A42" s="212"/>
      <c r="B42" s="259" t="s">
        <v>157</v>
      </c>
      <c r="C42" s="89" t="s">
        <v>868</v>
      </c>
      <c r="D42" s="98" t="s">
        <v>46</v>
      </c>
      <c r="E42" s="106" t="s">
        <v>175</v>
      </c>
      <c r="F42" s="107"/>
      <c r="G42" s="107"/>
      <c r="H42" s="167"/>
      <c r="I42" s="168">
        <v>1</v>
      </c>
      <c r="J42" s="168"/>
      <c r="K42" s="168"/>
      <c r="L42" s="168"/>
      <c r="M42" s="168"/>
      <c r="N42" s="168"/>
      <c r="O42" s="168"/>
      <c r="P42" s="168">
        <v>1</v>
      </c>
      <c r="Q42" s="167"/>
      <c r="R42" s="167"/>
      <c r="S42" s="167"/>
    </row>
    <row r="43" spans="1:19" s="169" customFormat="1" ht="25.5" x14ac:dyDescent="0.25">
      <c r="A43" s="212"/>
      <c r="B43" s="260"/>
      <c r="C43" s="216" t="s">
        <v>869</v>
      </c>
      <c r="D43" s="218" t="s">
        <v>29</v>
      </c>
      <c r="E43" s="106" t="s">
        <v>175</v>
      </c>
      <c r="F43" s="107"/>
      <c r="G43" s="106" t="s">
        <v>218</v>
      </c>
      <c r="H43" s="167"/>
      <c r="I43" s="168"/>
      <c r="J43" s="168"/>
      <c r="K43" s="168"/>
      <c r="L43" s="168"/>
      <c r="M43" s="148" t="s">
        <v>216</v>
      </c>
      <c r="N43" s="168"/>
      <c r="O43" s="168"/>
      <c r="P43" s="168"/>
      <c r="Q43" s="167"/>
      <c r="R43" s="167"/>
      <c r="S43" s="167"/>
    </row>
    <row r="44" spans="1:19" s="169" customFormat="1" ht="25.5" x14ac:dyDescent="0.25">
      <c r="A44" s="213"/>
      <c r="B44" s="261"/>
      <c r="C44" s="217"/>
      <c r="D44" s="219"/>
      <c r="E44" s="106" t="s">
        <v>175</v>
      </c>
      <c r="F44" s="107"/>
      <c r="G44" s="106" t="s">
        <v>219</v>
      </c>
      <c r="H44" s="167"/>
      <c r="I44" s="167"/>
      <c r="J44" s="167"/>
      <c r="K44" s="167"/>
      <c r="L44" s="167"/>
      <c r="M44" s="148" t="s">
        <v>217</v>
      </c>
      <c r="N44" s="167"/>
      <c r="O44" s="167"/>
      <c r="P44" s="167"/>
      <c r="Q44" s="167"/>
      <c r="R44" s="167"/>
      <c r="S44" s="167"/>
    </row>
    <row r="45" spans="1:19" s="169" customFormat="1" ht="15.75" x14ac:dyDescent="0.25">
      <c r="A45" s="242" t="s">
        <v>2</v>
      </c>
      <c r="B45" s="196" t="s">
        <v>159</v>
      </c>
      <c r="C45" s="197"/>
      <c r="D45" s="194" t="s">
        <v>48</v>
      </c>
      <c r="E45" s="194" t="s">
        <v>198</v>
      </c>
      <c r="F45" s="125" t="s">
        <v>918</v>
      </c>
      <c r="G45" s="121" t="s">
        <v>938</v>
      </c>
      <c r="H45" s="170"/>
      <c r="I45" s="170"/>
      <c r="J45" s="170"/>
      <c r="K45" s="170"/>
      <c r="L45" s="170"/>
      <c r="M45" s="171"/>
      <c r="N45" s="170"/>
      <c r="O45" s="170"/>
      <c r="P45" s="170"/>
      <c r="Q45" s="170"/>
      <c r="R45" s="170"/>
      <c r="S45" s="170"/>
    </row>
    <row r="46" spans="1:19" s="138" customFormat="1" ht="135.6" customHeight="1" x14ac:dyDescent="0.25">
      <c r="A46" s="243"/>
      <c r="B46" s="198"/>
      <c r="C46" s="199"/>
      <c r="D46" s="195"/>
      <c r="E46" s="195"/>
      <c r="F46" s="121" t="s">
        <v>919</v>
      </c>
      <c r="G46" s="121" t="s">
        <v>939</v>
      </c>
      <c r="H46" s="128"/>
      <c r="I46" s="128"/>
      <c r="J46" s="128"/>
      <c r="K46" s="128"/>
      <c r="L46" s="128" t="s">
        <v>160</v>
      </c>
      <c r="M46" s="128" t="s">
        <v>202</v>
      </c>
      <c r="N46" s="128" t="s">
        <v>203</v>
      </c>
      <c r="O46" s="128">
        <v>2</v>
      </c>
      <c r="P46" s="128">
        <v>1</v>
      </c>
      <c r="Q46" s="128"/>
      <c r="R46" s="128"/>
      <c r="S46" s="128"/>
    </row>
    <row r="47" spans="1:19" s="138" customFormat="1" ht="38.25" x14ac:dyDescent="0.25">
      <c r="A47" s="243"/>
      <c r="B47" s="119" t="s">
        <v>158</v>
      </c>
      <c r="C47" s="120"/>
      <c r="D47" s="121" t="s">
        <v>35</v>
      </c>
      <c r="E47" s="121" t="s">
        <v>175</v>
      </c>
      <c r="F47" s="121"/>
      <c r="G47" s="121" t="s">
        <v>201</v>
      </c>
      <c r="H47" s="129"/>
      <c r="I47" s="129"/>
      <c r="J47" s="129"/>
      <c r="K47" s="129"/>
      <c r="L47" s="129"/>
      <c r="M47" s="128" t="s">
        <v>204</v>
      </c>
      <c r="N47" s="128" t="s">
        <v>205</v>
      </c>
      <c r="O47" s="129"/>
      <c r="P47" s="129">
        <v>2</v>
      </c>
      <c r="Q47" s="129"/>
      <c r="R47" s="129"/>
      <c r="S47" s="129"/>
    </row>
    <row r="48" spans="1:19" s="138" customFormat="1" ht="38.25" x14ac:dyDescent="0.25">
      <c r="A48" s="243"/>
      <c r="B48" s="231" t="s">
        <v>3</v>
      </c>
      <c r="C48" s="232"/>
      <c r="D48" s="121" t="s">
        <v>35</v>
      </c>
      <c r="E48" s="121" t="s">
        <v>175</v>
      </c>
      <c r="F48" s="121"/>
      <c r="G48" s="121" t="s">
        <v>201</v>
      </c>
      <c r="H48" s="129"/>
      <c r="I48" s="129"/>
      <c r="J48" s="129"/>
      <c r="K48" s="129"/>
      <c r="L48" s="129"/>
      <c r="M48" s="128" t="s">
        <v>206</v>
      </c>
      <c r="N48" s="128" t="s">
        <v>207</v>
      </c>
      <c r="O48" s="129"/>
      <c r="P48" s="129">
        <v>1</v>
      </c>
      <c r="Q48" s="129"/>
      <c r="R48" s="129"/>
      <c r="S48" s="129"/>
    </row>
    <row r="49" spans="1:19" s="138" customFormat="1" ht="38.25" x14ac:dyDescent="0.25">
      <c r="A49" s="243"/>
      <c r="B49" s="231" t="s">
        <v>4</v>
      </c>
      <c r="C49" s="232"/>
      <c r="D49" s="121" t="s">
        <v>35</v>
      </c>
      <c r="E49" s="121" t="s">
        <v>175</v>
      </c>
      <c r="F49" s="121"/>
      <c r="G49" s="121" t="s">
        <v>201</v>
      </c>
      <c r="H49" s="129"/>
      <c r="I49" s="129"/>
      <c r="J49" s="129"/>
      <c r="K49" s="129"/>
      <c r="L49" s="129"/>
      <c r="M49" s="128" t="s">
        <v>209</v>
      </c>
      <c r="N49" s="128" t="s">
        <v>208</v>
      </c>
      <c r="O49" s="129"/>
      <c r="P49" s="129">
        <v>1</v>
      </c>
      <c r="Q49" s="129"/>
      <c r="R49" s="129"/>
      <c r="S49" s="129"/>
    </row>
    <row r="50" spans="1:19" s="138" customFormat="1" ht="38.25" x14ac:dyDescent="0.25">
      <c r="A50" s="243"/>
      <c r="B50" s="231" t="s">
        <v>69</v>
      </c>
      <c r="C50" s="232"/>
      <c r="D50" s="121" t="s">
        <v>35</v>
      </c>
      <c r="E50" s="121" t="s">
        <v>175</v>
      </c>
      <c r="F50" s="121"/>
      <c r="G50" s="121" t="s">
        <v>201</v>
      </c>
      <c r="H50" s="129"/>
      <c r="I50" s="129"/>
      <c r="J50" s="129"/>
      <c r="K50" s="129"/>
      <c r="L50" s="129"/>
      <c r="M50" s="128" t="s">
        <v>210</v>
      </c>
      <c r="N50" s="128" t="s">
        <v>211</v>
      </c>
      <c r="O50" s="129">
        <v>2</v>
      </c>
      <c r="P50" s="129">
        <v>2</v>
      </c>
      <c r="Q50" s="129"/>
      <c r="R50" s="129"/>
      <c r="S50" s="129"/>
    </row>
    <row r="51" spans="1:19" s="138" customFormat="1" ht="38.25" x14ac:dyDescent="0.25">
      <c r="A51" s="243"/>
      <c r="B51" s="231" t="s">
        <v>5</v>
      </c>
      <c r="C51" s="232"/>
      <c r="D51" s="121" t="s">
        <v>35</v>
      </c>
      <c r="E51" s="121" t="s">
        <v>175</v>
      </c>
      <c r="F51" s="125" t="s">
        <v>200</v>
      </c>
      <c r="G51" s="125" t="s">
        <v>199</v>
      </c>
      <c r="H51" s="129"/>
      <c r="I51" s="129"/>
      <c r="J51" s="129"/>
      <c r="K51" s="129"/>
      <c r="L51" s="129"/>
      <c r="M51" s="128" t="s">
        <v>206</v>
      </c>
      <c r="N51" s="128" t="s">
        <v>207</v>
      </c>
      <c r="O51" s="129">
        <v>2</v>
      </c>
      <c r="P51" s="129">
        <v>2</v>
      </c>
      <c r="Q51" s="129"/>
      <c r="R51" s="129"/>
      <c r="S51" s="129"/>
    </row>
    <row r="52" spans="1:19" s="115" customFormat="1" ht="38.25" x14ac:dyDescent="0.25">
      <c r="A52" s="243"/>
      <c r="B52" s="240" t="s">
        <v>161</v>
      </c>
      <c r="C52" s="241"/>
      <c r="D52" s="125" t="s">
        <v>35</v>
      </c>
      <c r="E52" s="125" t="s">
        <v>175</v>
      </c>
      <c r="F52" s="125" t="s">
        <v>200</v>
      </c>
      <c r="G52" s="125" t="s">
        <v>199</v>
      </c>
      <c r="H52" s="149"/>
      <c r="I52" s="125"/>
      <c r="J52" s="149"/>
      <c r="K52" s="149"/>
      <c r="L52" s="149"/>
      <c r="M52" s="128" t="s">
        <v>204</v>
      </c>
      <c r="N52" s="128" t="s">
        <v>205</v>
      </c>
      <c r="O52" s="129"/>
      <c r="P52" s="129">
        <v>2</v>
      </c>
      <c r="Q52" s="149"/>
      <c r="R52" s="149"/>
      <c r="S52" s="149"/>
    </row>
    <row r="53" spans="1:19" s="138" customFormat="1" ht="15" customHeight="1" x14ac:dyDescent="0.25">
      <c r="A53" s="243"/>
      <c r="B53" s="231" t="s">
        <v>76</v>
      </c>
      <c r="C53" s="232"/>
      <c r="D53" s="121" t="s">
        <v>46</v>
      </c>
      <c r="E53" s="121" t="s">
        <v>175</v>
      </c>
      <c r="F53" s="121"/>
      <c r="G53" s="121" t="s">
        <v>201</v>
      </c>
      <c r="H53" s="129"/>
      <c r="I53" s="129"/>
      <c r="J53" s="129"/>
      <c r="K53" s="129"/>
      <c r="L53" s="129"/>
      <c r="M53" s="129"/>
      <c r="N53" s="129" t="str">
        <f>D53</f>
        <v>… óra</v>
      </c>
      <c r="O53" s="129"/>
      <c r="P53" s="129">
        <v>2</v>
      </c>
      <c r="Q53" s="129"/>
      <c r="R53" s="129"/>
      <c r="S53" s="129"/>
    </row>
    <row r="54" spans="1:19" s="138" customFormat="1" ht="51" x14ac:dyDescent="0.25">
      <c r="A54" s="244"/>
      <c r="B54" s="231" t="s">
        <v>10</v>
      </c>
      <c r="C54" s="232"/>
      <c r="D54" s="121" t="s">
        <v>162</v>
      </c>
      <c r="E54" s="121" t="s">
        <v>175</v>
      </c>
      <c r="F54" s="121"/>
      <c r="G54" s="121" t="s">
        <v>201</v>
      </c>
      <c r="H54" s="129"/>
      <c r="I54" s="129"/>
      <c r="J54" s="129"/>
      <c r="K54" s="129"/>
      <c r="L54" s="129"/>
      <c r="M54" s="128" t="s">
        <v>212</v>
      </c>
      <c r="N54" s="128" t="s">
        <v>213</v>
      </c>
      <c r="O54" s="128" t="s">
        <v>214</v>
      </c>
      <c r="P54" s="128" t="s">
        <v>214</v>
      </c>
      <c r="Q54" s="129"/>
      <c r="R54" s="129"/>
      <c r="S54" s="129"/>
    </row>
    <row r="55" spans="1:19" s="138" customFormat="1" ht="57.6" customHeight="1" x14ac:dyDescent="0.25">
      <c r="A55" s="235" t="s">
        <v>27</v>
      </c>
      <c r="B55" s="236" t="s">
        <v>98</v>
      </c>
      <c r="C55" s="237"/>
      <c r="D55" s="136" t="s">
        <v>119</v>
      </c>
      <c r="E55" s="136"/>
      <c r="F55" s="136"/>
      <c r="G55" s="136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</row>
    <row r="56" spans="1:19" s="138" customFormat="1" ht="55.9" customHeight="1" x14ac:dyDescent="0.25">
      <c r="A56" s="235"/>
      <c r="B56" s="238" t="s">
        <v>6</v>
      </c>
      <c r="C56" s="239"/>
      <c r="D56" s="132" t="s">
        <v>73</v>
      </c>
      <c r="E56" s="136"/>
      <c r="F56" s="136"/>
      <c r="G56" s="136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</row>
    <row r="57" spans="1:19" s="138" customFormat="1" ht="25.9" customHeight="1" x14ac:dyDescent="0.25">
      <c r="A57" s="235"/>
      <c r="B57" s="238" t="s">
        <v>74</v>
      </c>
      <c r="C57" s="239"/>
      <c r="D57" s="133" t="s">
        <v>46</v>
      </c>
      <c r="E57" s="137"/>
      <c r="F57" s="137"/>
      <c r="G57" s="137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</row>
    <row r="58" spans="1:19" s="138" customFormat="1" ht="25.9" customHeight="1" x14ac:dyDescent="0.25">
      <c r="A58" s="235"/>
      <c r="B58" s="238" t="s">
        <v>7</v>
      </c>
      <c r="C58" s="239"/>
      <c r="D58" s="132" t="s">
        <v>48</v>
      </c>
      <c r="E58" s="136"/>
      <c r="F58" s="136"/>
      <c r="G58" s="136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</row>
    <row r="59" spans="1:19" s="138" customFormat="1" ht="25.9" customHeight="1" x14ac:dyDescent="0.25">
      <c r="A59" s="235"/>
      <c r="B59" s="238" t="s">
        <v>8</v>
      </c>
      <c r="C59" s="239"/>
      <c r="D59" s="132" t="s">
        <v>48</v>
      </c>
      <c r="E59" s="136"/>
      <c r="F59" s="136"/>
      <c r="G59" s="136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</row>
    <row r="60" spans="1:19" s="138" customFormat="1" ht="25.9" customHeight="1" x14ac:dyDescent="0.25">
      <c r="A60" s="235"/>
      <c r="B60" s="238" t="s">
        <v>42</v>
      </c>
      <c r="C60" s="239"/>
      <c r="D60" s="132" t="s">
        <v>100</v>
      </c>
      <c r="E60" s="136" t="s">
        <v>220</v>
      </c>
      <c r="F60" s="136"/>
      <c r="G60" s="136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</row>
    <row r="61" spans="1:19" s="138" customFormat="1" ht="25.9" customHeight="1" x14ac:dyDescent="0.25">
      <c r="A61" s="235"/>
      <c r="B61" s="134" t="s">
        <v>72</v>
      </c>
      <c r="C61" s="135"/>
      <c r="D61" s="132" t="s">
        <v>48</v>
      </c>
      <c r="E61" s="136"/>
      <c r="F61" s="136"/>
      <c r="G61" s="136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</row>
    <row r="62" spans="1:19" s="138" customFormat="1" ht="25.9" customHeight="1" x14ac:dyDescent="0.25">
      <c r="A62" s="235"/>
      <c r="B62" s="134" t="s">
        <v>101</v>
      </c>
      <c r="C62" s="135"/>
      <c r="D62" s="132" t="s">
        <v>48</v>
      </c>
      <c r="E62" s="136"/>
      <c r="F62" s="136"/>
      <c r="G62" s="136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</row>
    <row r="63" spans="1:19" s="142" customFormat="1" ht="25.9" customHeight="1" x14ac:dyDescent="0.25">
      <c r="A63" s="233" t="s">
        <v>9</v>
      </c>
      <c r="B63" s="139" t="s">
        <v>110</v>
      </c>
      <c r="C63" s="140"/>
      <c r="D63" s="141"/>
      <c r="E63" s="141"/>
      <c r="F63" s="141"/>
      <c r="G63" s="141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</row>
    <row r="64" spans="1:19" s="142" customFormat="1" ht="25.9" customHeight="1" x14ac:dyDescent="0.25">
      <c r="A64" s="234"/>
      <c r="B64" s="139" t="s">
        <v>111</v>
      </c>
      <c r="C64" s="140"/>
      <c r="D64" s="141"/>
      <c r="E64" s="141"/>
      <c r="F64" s="141"/>
      <c r="G64" s="141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</row>
    <row r="67" spans="1:2" x14ac:dyDescent="0.2">
      <c r="A67" s="3" t="s">
        <v>151</v>
      </c>
    </row>
    <row r="68" spans="1:2" x14ac:dyDescent="0.2">
      <c r="B68" s="3" t="s">
        <v>31</v>
      </c>
    </row>
    <row r="69" spans="1:2" x14ac:dyDescent="0.2">
      <c r="B69" s="3" t="s">
        <v>152</v>
      </c>
    </row>
    <row r="70" spans="1:2" x14ac:dyDescent="0.2">
      <c r="B70" s="3" t="s">
        <v>153</v>
      </c>
    </row>
  </sheetData>
  <mergeCells count="69">
    <mergeCell ref="M39:M40"/>
    <mergeCell ref="I39:I40"/>
    <mergeCell ref="P39:P40"/>
    <mergeCell ref="B54:C54"/>
    <mergeCell ref="B16:C16"/>
    <mergeCell ref="B17:C17"/>
    <mergeCell ref="B18:C18"/>
    <mergeCell ref="A19:B22"/>
    <mergeCell ref="B39:B41"/>
    <mergeCell ref="A7:A18"/>
    <mergeCell ref="B7:C7"/>
    <mergeCell ref="B9:C9"/>
    <mergeCell ref="B10:C10"/>
    <mergeCell ref="B42:B44"/>
    <mergeCell ref="B11:C11"/>
    <mergeCell ref="B48:C48"/>
    <mergeCell ref="B12:C12"/>
    <mergeCell ref="B13:C13"/>
    <mergeCell ref="B14:C14"/>
    <mergeCell ref="B15:C15"/>
    <mergeCell ref="B49:C49"/>
    <mergeCell ref="B50:C50"/>
    <mergeCell ref="B51:C51"/>
    <mergeCell ref="A63:A64"/>
    <mergeCell ref="A55:A62"/>
    <mergeCell ref="B55:C55"/>
    <mergeCell ref="B56:C56"/>
    <mergeCell ref="B57:C57"/>
    <mergeCell ref="B58:C58"/>
    <mergeCell ref="B59:C59"/>
    <mergeCell ref="B60:C60"/>
    <mergeCell ref="B52:C52"/>
    <mergeCell ref="B53:C53"/>
    <mergeCell ref="A45:A54"/>
    <mergeCell ref="A2:A6"/>
    <mergeCell ref="B2:C2"/>
    <mergeCell ref="B3:C3"/>
    <mergeCell ref="B4:C4"/>
    <mergeCell ref="B5:C5"/>
    <mergeCell ref="B6:C6"/>
    <mergeCell ref="B8:C8"/>
    <mergeCell ref="E7:E18"/>
    <mergeCell ref="A23:A44"/>
    <mergeCell ref="B23:B38"/>
    <mergeCell ref="C23:C24"/>
    <mergeCell ref="D23:D24"/>
    <mergeCell ref="C25:C26"/>
    <mergeCell ref="D25:D26"/>
    <mergeCell ref="E25:E26"/>
    <mergeCell ref="C34:C36"/>
    <mergeCell ref="D34:D36"/>
    <mergeCell ref="E34:E36"/>
    <mergeCell ref="C43:C44"/>
    <mergeCell ref="D43:D44"/>
    <mergeCell ref="C37:C38"/>
    <mergeCell ref="D37:D38"/>
    <mergeCell ref="G25:G26"/>
    <mergeCell ref="C28:C33"/>
    <mergeCell ref="D28:D33"/>
    <mergeCell ref="E23:E24"/>
    <mergeCell ref="E28:E33"/>
    <mergeCell ref="F28:F29"/>
    <mergeCell ref="F30:F31"/>
    <mergeCell ref="F32:F33"/>
    <mergeCell ref="D45:D46"/>
    <mergeCell ref="B45:C46"/>
    <mergeCell ref="E45:E46"/>
    <mergeCell ref="E37:E38"/>
    <mergeCell ref="F25:F26"/>
  </mergeCells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F167-C88B-4517-BEDF-0401D4A60204}">
  <sheetPr>
    <tabColor theme="9"/>
  </sheetPr>
  <dimension ref="A1:T102"/>
  <sheetViews>
    <sheetView zoomScale="70" zoomScaleNormal="70" workbookViewId="0">
      <pane xSplit="4" ySplit="1" topLeftCell="J65" activePane="bottomRight" state="frozen"/>
      <selection pane="topRight" activeCell="E1" sqref="E1"/>
      <selection pane="bottomLeft" activeCell="A2" sqref="A2"/>
      <selection pane="bottomRight" activeCell="H1" sqref="H1:T1048576"/>
    </sheetView>
  </sheetViews>
  <sheetFormatPr defaultColWidth="8.85546875" defaultRowHeight="15" x14ac:dyDescent="0.2"/>
  <cols>
    <col min="1" max="1" width="28.28515625" style="3" customWidth="1"/>
    <col min="2" max="2" width="34" style="3" customWidth="1"/>
    <col min="3" max="3" width="36.85546875" style="3" customWidth="1"/>
    <col min="4" max="5" width="30.7109375" style="3" customWidth="1"/>
    <col min="6" max="6" width="32.7109375" style="3" customWidth="1"/>
    <col min="7" max="7" width="30.7109375" style="3" customWidth="1"/>
    <col min="8" max="8" width="19.28515625" style="87" customWidth="1"/>
    <col min="9" max="20" width="13.5703125" style="87" customWidth="1"/>
    <col min="21" max="16384" width="8.85546875" style="3"/>
  </cols>
  <sheetData>
    <row r="1" spans="1:20" s="2" customFormat="1" ht="73.150000000000006" customHeight="1" x14ac:dyDescent="0.25">
      <c r="A1" s="1" t="s">
        <v>176</v>
      </c>
      <c r="B1" s="1" t="s">
        <v>177</v>
      </c>
      <c r="C1" s="1" t="s">
        <v>11</v>
      </c>
      <c r="D1" s="1" t="s">
        <v>12</v>
      </c>
      <c r="E1" s="1" t="s">
        <v>171</v>
      </c>
      <c r="F1" s="1" t="s">
        <v>172</v>
      </c>
      <c r="G1" s="1" t="s">
        <v>165</v>
      </c>
      <c r="H1" s="42" t="s">
        <v>13</v>
      </c>
      <c r="I1" s="42" t="s">
        <v>928</v>
      </c>
      <c r="J1" s="42" t="s">
        <v>17</v>
      </c>
      <c r="K1" s="42" t="s">
        <v>15</v>
      </c>
      <c r="L1" s="42" t="s">
        <v>16</v>
      </c>
      <c r="M1" s="42" t="s">
        <v>14</v>
      </c>
      <c r="N1" s="1" t="s">
        <v>166</v>
      </c>
      <c r="O1" s="42" t="s">
        <v>19</v>
      </c>
      <c r="P1" s="42" t="s">
        <v>20</v>
      </c>
      <c r="Q1" s="42" t="s">
        <v>21</v>
      </c>
      <c r="R1" s="42" t="s">
        <v>113</v>
      </c>
      <c r="S1" s="42" t="s">
        <v>114</v>
      </c>
      <c r="T1" s="42" t="s">
        <v>115</v>
      </c>
    </row>
    <row r="2" spans="1:20" s="2" customFormat="1" ht="25.5" x14ac:dyDescent="0.25">
      <c r="A2" s="220"/>
      <c r="B2" s="223" t="s">
        <v>1</v>
      </c>
      <c r="C2" s="224"/>
      <c r="D2" s="45" t="s">
        <v>47</v>
      </c>
      <c r="E2" s="43"/>
      <c r="F2" s="43"/>
      <c r="G2" s="43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8"/>
    </row>
    <row r="3" spans="1:20" s="2" customFormat="1" ht="25.5" x14ac:dyDescent="0.25">
      <c r="A3" s="220"/>
      <c r="B3" s="225" t="s">
        <v>2</v>
      </c>
      <c r="C3" s="226"/>
      <c r="D3" s="47" t="s">
        <v>47</v>
      </c>
      <c r="E3" s="43"/>
      <c r="F3" s="43"/>
      <c r="G3" s="43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8"/>
    </row>
    <row r="4" spans="1:20" s="2" customFormat="1" ht="25.5" x14ac:dyDescent="0.25">
      <c r="A4" s="220"/>
      <c r="B4" s="227" t="s">
        <v>27</v>
      </c>
      <c r="C4" s="228"/>
      <c r="D4" s="48" t="s">
        <v>47</v>
      </c>
      <c r="E4" s="43"/>
      <c r="F4" s="43"/>
      <c r="G4" s="43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</row>
    <row r="5" spans="1:20" s="2" customFormat="1" ht="25.5" x14ac:dyDescent="0.25">
      <c r="A5" s="220"/>
      <c r="B5" s="229" t="s">
        <v>9</v>
      </c>
      <c r="C5" s="230"/>
      <c r="D5" s="49" t="s">
        <v>47</v>
      </c>
      <c r="E5" s="43"/>
      <c r="F5" s="43"/>
      <c r="G5" s="43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8"/>
    </row>
    <row r="6" spans="1:20" s="2" customFormat="1" x14ac:dyDescent="0.25">
      <c r="A6" s="256" t="s">
        <v>56</v>
      </c>
      <c r="B6" s="206" t="s">
        <v>163</v>
      </c>
      <c r="C6" s="207"/>
      <c r="D6" s="37"/>
      <c r="E6" s="208" t="s">
        <v>164</v>
      </c>
      <c r="F6" s="81" t="s">
        <v>164</v>
      </c>
      <c r="G6" s="81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80"/>
    </row>
    <row r="7" spans="1:20" s="2" customFormat="1" x14ac:dyDescent="0.25">
      <c r="A7" s="257"/>
      <c r="B7" s="206" t="s">
        <v>58</v>
      </c>
      <c r="C7" s="207"/>
      <c r="D7" s="37"/>
      <c r="E7" s="209"/>
      <c r="F7" s="82"/>
      <c r="G7" s="82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80"/>
    </row>
    <row r="8" spans="1:20" s="2" customFormat="1" x14ac:dyDescent="0.25">
      <c r="A8" s="257"/>
      <c r="B8" s="206" t="s">
        <v>59</v>
      </c>
      <c r="C8" s="207"/>
      <c r="D8" s="37"/>
      <c r="E8" s="209"/>
      <c r="F8" s="82"/>
      <c r="G8" s="82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80"/>
    </row>
    <row r="9" spans="1:20" s="2" customFormat="1" x14ac:dyDescent="0.25">
      <c r="A9" s="257"/>
      <c r="B9" s="206" t="s">
        <v>60</v>
      </c>
      <c r="C9" s="207"/>
      <c r="D9" s="37"/>
      <c r="E9" s="209"/>
      <c r="F9" s="82"/>
      <c r="G9" s="82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80"/>
    </row>
    <row r="10" spans="1:20" s="2" customFormat="1" x14ac:dyDescent="0.25">
      <c r="A10" s="257"/>
      <c r="B10" s="206" t="s">
        <v>61</v>
      </c>
      <c r="C10" s="207"/>
      <c r="D10" s="37"/>
      <c r="E10" s="209"/>
      <c r="F10" s="82"/>
      <c r="G10" s="82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80"/>
    </row>
    <row r="11" spans="1:20" s="2" customFormat="1" x14ac:dyDescent="0.25">
      <c r="A11" s="257"/>
      <c r="B11" s="206" t="s">
        <v>62</v>
      </c>
      <c r="C11" s="207"/>
      <c r="D11" s="37"/>
      <c r="E11" s="209"/>
      <c r="F11" s="82"/>
      <c r="G11" s="82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0"/>
    </row>
    <row r="12" spans="1:20" s="2" customFormat="1" x14ac:dyDescent="0.25">
      <c r="A12" s="257"/>
      <c r="B12" s="206" t="s">
        <v>63</v>
      </c>
      <c r="C12" s="207"/>
      <c r="D12" s="37"/>
      <c r="E12" s="209"/>
      <c r="F12" s="82"/>
      <c r="G12" s="82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80"/>
    </row>
    <row r="13" spans="1:20" s="2" customFormat="1" x14ac:dyDescent="0.25">
      <c r="A13" s="257"/>
      <c r="B13" s="206" t="s">
        <v>64</v>
      </c>
      <c r="C13" s="207"/>
      <c r="D13" s="37"/>
      <c r="E13" s="209"/>
      <c r="F13" s="82"/>
      <c r="G13" s="82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80"/>
    </row>
    <row r="14" spans="1:20" s="2" customFormat="1" x14ac:dyDescent="0.25">
      <c r="A14" s="257"/>
      <c r="B14" s="206" t="s">
        <v>65</v>
      </c>
      <c r="C14" s="207"/>
      <c r="D14" s="37"/>
      <c r="E14" s="209"/>
      <c r="F14" s="82"/>
      <c r="G14" s="82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80"/>
    </row>
    <row r="15" spans="1:20" s="2" customFormat="1" x14ac:dyDescent="0.25">
      <c r="A15" s="257"/>
      <c r="B15" s="206" t="s">
        <v>66</v>
      </c>
      <c r="C15" s="207"/>
      <c r="D15" s="37"/>
      <c r="E15" s="209"/>
      <c r="F15" s="82"/>
      <c r="G15" s="82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1:20" s="2" customFormat="1" x14ac:dyDescent="0.25">
      <c r="A16" s="257"/>
      <c r="B16" s="206" t="s">
        <v>67</v>
      </c>
      <c r="C16" s="207"/>
      <c r="D16" s="37"/>
      <c r="E16" s="209"/>
      <c r="F16" s="82"/>
      <c r="G16" s="82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80"/>
    </row>
    <row r="17" spans="1:20" s="2" customFormat="1" x14ac:dyDescent="0.25">
      <c r="A17" s="258"/>
      <c r="B17" s="206" t="s">
        <v>68</v>
      </c>
      <c r="C17" s="207"/>
      <c r="D17" s="37"/>
      <c r="E17" s="210"/>
      <c r="F17" s="83"/>
      <c r="G17" s="83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80"/>
    </row>
    <row r="18" spans="1:20" s="97" customFormat="1" ht="39" x14ac:dyDescent="0.25">
      <c r="A18" s="291" t="s">
        <v>1</v>
      </c>
      <c r="B18" s="277" t="s">
        <v>112</v>
      </c>
      <c r="C18" s="277" t="s">
        <v>0</v>
      </c>
      <c r="D18" s="218" t="s">
        <v>131</v>
      </c>
      <c r="E18" s="218" t="s">
        <v>853</v>
      </c>
      <c r="F18" s="92" t="s">
        <v>854</v>
      </c>
      <c r="G18" s="92" t="s">
        <v>929</v>
      </c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6"/>
    </row>
    <row r="19" spans="1:20" s="97" customFormat="1" ht="25.5" x14ac:dyDescent="0.25">
      <c r="A19" s="292"/>
      <c r="B19" s="294"/>
      <c r="C19" s="294"/>
      <c r="D19" s="276"/>
      <c r="E19" s="276"/>
      <c r="F19" s="98" t="s">
        <v>931</v>
      </c>
      <c r="G19" s="99" t="s">
        <v>930</v>
      </c>
      <c r="H19" s="100" t="s">
        <v>936</v>
      </c>
      <c r="I19" s="100" t="s">
        <v>252</v>
      </c>
      <c r="J19" s="100">
        <v>1</v>
      </c>
      <c r="K19" s="95"/>
      <c r="L19" s="95"/>
      <c r="M19" s="95"/>
      <c r="N19" s="95"/>
      <c r="O19" s="95"/>
      <c r="P19" s="95"/>
      <c r="Q19" s="95"/>
      <c r="R19" s="95"/>
      <c r="S19" s="95"/>
      <c r="T19" s="96"/>
    </row>
    <row r="20" spans="1:20" s="97" customFormat="1" ht="38.25" x14ac:dyDescent="0.25">
      <c r="A20" s="292"/>
      <c r="B20" s="294"/>
      <c r="C20" s="294"/>
      <c r="D20" s="276"/>
      <c r="E20" s="276"/>
      <c r="F20" s="98" t="s">
        <v>932</v>
      </c>
      <c r="G20" s="99" t="s">
        <v>934</v>
      </c>
      <c r="H20" s="100" t="s">
        <v>945</v>
      </c>
      <c r="I20" s="100" t="s">
        <v>250</v>
      </c>
      <c r="J20" s="100">
        <v>2</v>
      </c>
      <c r="K20" s="95"/>
      <c r="L20" s="148"/>
      <c r="M20" s="148"/>
      <c r="N20" s="148"/>
      <c r="O20" s="95"/>
      <c r="P20" s="95"/>
      <c r="Q20" s="95"/>
      <c r="R20" s="95"/>
      <c r="S20" s="95"/>
      <c r="T20" s="96"/>
    </row>
    <row r="21" spans="1:20" s="97" customFormat="1" ht="25.5" x14ac:dyDescent="0.25">
      <c r="A21" s="292"/>
      <c r="B21" s="294"/>
      <c r="C21" s="278"/>
      <c r="D21" s="219"/>
      <c r="E21" s="219"/>
      <c r="F21" s="98" t="s">
        <v>933</v>
      </c>
      <c r="G21" s="99" t="s">
        <v>935</v>
      </c>
      <c r="H21" s="100" t="s">
        <v>936</v>
      </c>
      <c r="I21" s="100" t="s">
        <v>252</v>
      </c>
      <c r="J21" s="100">
        <v>1</v>
      </c>
      <c r="K21" s="95"/>
      <c r="L21" s="95"/>
      <c r="M21" s="95"/>
      <c r="N21" s="95"/>
      <c r="O21" s="95"/>
      <c r="P21" s="95"/>
      <c r="Q21" s="95"/>
      <c r="R21" s="95"/>
      <c r="S21" s="95"/>
      <c r="T21" s="96"/>
    </row>
    <row r="22" spans="1:20" s="97" customFormat="1" ht="15" customHeight="1" x14ac:dyDescent="0.25">
      <c r="A22" s="292"/>
      <c r="B22" s="294"/>
      <c r="C22" s="277" t="s">
        <v>852</v>
      </c>
      <c r="D22" s="218" t="s">
        <v>53</v>
      </c>
      <c r="E22" s="218" t="s">
        <v>164</v>
      </c>
      <c r="F22" s="98" t="s">
        <v>855</v>
      </c>
      <c r="G22" s="99"/>
      <c r="H22" s="99" t="s">
        <v>873</v>
      </c>
      <c r="I22" s="100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6"/>
    </row>
    <row r="23" spans="1:20" s="102" customFormat="1" ht="41.45" customHeight="1" x14ac:dyDescent="0.25">
      <c r="A23" s="292"/>
      <c r="B23" s="294"/>
      <c r="C23" s="278"/>
      <c r="D23" s="219"/>
      <c r="E23" s="219"/>
      <c r="F23" s="101" t="s">
        <v>856</v>
      </c>
      <c r="G23" s="101"/>
      <c r="H23" s="101" t="s">
        <v>857</v>
      </c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</row>
    <row r="24" spans="1:20" s="102" customFormat="1" ht="76.5" x14ac:dyDescent="0.25">
      <c r="A24" s="292"/>
      <c r="B24" s="294"/>
      <c r="C24" s="103" t="s">
        <v>28</v>
      </c>
      <c r="D24" s="101" t="s">
        <v>52</v>
      </c>
      <c r="E24" s="101" t="s">
        <v>164</v>
      </c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</row>
    <row r="25" spans="1:20" s="102" customFormat="1" ht="63.75" x14ac:dyDescent="0.25">
      <c r="A25" s="292"/>
      <c r="B25" s="294"/>
      <c r="C25" s="103" t="s">
        <v>861</v>
      </c>
      <c r="D25" s="101" t="s">
        <v>57</v>
      </c>
      <c r="E25" s="101" t="s">
        <v>164</v>
      </c>
      <c r="F25" s="101"/>
      <c r="G25" s="99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</row>
    <row r="26" spans="1:20" s="105" customFormat="1" ht="15" customHeight="1" x14ac:dyDescent="0.25">
      <c r="A26" s="292"/>
      <c r="B26" s="294"/>
      <c r="C26" s="216" t="s">
        <v>871</v>
      </c>
      <c r="D26" s="218" t="s">
        <v>122</v>
      </c>
      <c r="E26" s="218" t="s">
        <v>175</v>
      </c>
      <c r="F26" s="98" t="s">
        <v>874</v>
      </c>
      <c r="G26" s="98"/>
      <c r="H26" s="104" t="s">
        <v>873</v>
      </c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</row>
    <row r="27" spans="1:20" s="105" customFormat="1" ht="51" x14ac:dyDescent="0.25">
      <c r="A27" s="292"/>
      <c r="B27" s="294"/>
      <c r="C27" s="217"/>
      <c r="D27" s="219"/>
      <c r="E27" s="219"/>
      <c r="F27" s="98" t="s">
        <v>872</v>
      </c>
      <c r="G27" s="98" t="s">
        <v>876</v>
      </c>
      <c r="H27" s="104" t="s">
        <v>875</v>
      </c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</row>
    <row r="28" spans="1:20" s="105" customFormat="1" x14ac:dyDescent="0.25">
      <c r="A28" s="292"/>
      <c r="B28" s="294"/>
      <c r="C28" s="277" t="s">
        <v>877</v>
      </c>
      <c r="D28" s="218" t="s">
        <v>51</v>
      </c>
      <c r="E28" s="218" t="s">
        <v>164</v>
      </c>
      <c r="F28" s="98" t="s">
        <v>878</v>
      </c>
      <c r="G28" s="98"/>
      <c r="H28" s="104" t="s">
        <v>873</v>
      </c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</row>
    <row r="29" spans="1:20" s="105" customFormat="1" ht="61.15" customHeight="1" x14ac:dyDescent="0.25">
      <c r="A29" s="292"/>
      <c r="B29" s="294"/>
      <c r="C29" s="278"/>
      <c r="D29" s="219"/>
      <c r="E29" s="219"/>
      <c r="F29" s="98" t="s">
        <v>879</v>
      </c>
      <c r="G29" s="98"/>
      <c r="H29" s="104" t="s">
        <v>875</v>
      </c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</row>
    <row r="30" spans="1:20" s="105" customFormat="1" ht="15" customHeight="1" x14ac:dyDescent="0.25">
      <c r="A30" s="292"/>
      <c r="B30" s="294"/>
      <c r="C30" s="103" t="s">
        <v>880</v>
      </c>
      <c r="D30" s="98" t="s">
        <v>35</v>
      </c>
      <c r="E30" s="98" t="s">
        <v>175</v>
      </c>
      <c r="F30" s="98" t="s">
        <v>123</v>
      </c>
      <c r="G30" s="98"/>
      <c r="H30" s="104"/>
      <c r="I30" s="104"/>
      <c r="J30" s="101"/>
      <c r="K30" s="98"/>
      <c r="L30" s="104"/>
      <c r="M30" s="104"/>
      <c r="N30" s="104"/>
      <c r="O30" s="104"/>
      <c r="P30" s="104"/>
      <c r="Q30" s="104"/>
      <c r="R30" s="104"/>
      <c r="S30" s="104"/>
      <c r="T30" s="104"/>
    </row>
    <row r="31" spans="1:20" s="105" customFormat="1" ht="166.15" customHeight="1" x14ac:dyDescent="0.25">
      <c r="A31" s="292"/>
      <c r="B31" s="294"/>
      <c r="C31" s="103" t="s">
        <v>881</v>
      </c>
      <c r="D31" s="98" t="s">
        <v>50</v>
      </c>
      <c r="E31" s="98" t="s">
        <v>164</v>
      </c>
      <c r="F31" s="98"/>
      <c r="G31" s="98" t="s">
        <v>883</v>
      </c>
      <c r="H31" s="98" t="s">
        <v>882</v>
      </c>
      <c r="I31" s="98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</row>
    <row r="32" spans="1:20" s="105" customFormat="1" ht="60" customHeight="1" x14ac:dyDescent="0.25">
      <c r="A32" s="292"/>
      <c r="B32" s="294"/>
      <c r="C32" s="103" t="s">
        <v>884</v>
      </c>
      <c r="D32" s="98" t="s">
        <v>251</v>
      </c>
      <c r="E32" s="98" t="s">
        <v>175</v>
      </c>
      <c r="F32" s="98" t="s">
        <v>916</v>
      </c>
      <c r="G32" s="98" t="s">
        <v>917</v>
      </c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</row>
    <row r="33" spans="1:20" s="105" customFormat="1" ht="44.45" customHeight="1" x14ac:dyDescent="0.25">
      <c r="A33" s="292"/>
      <c r="B33" s="278"/>
      <c r="C33" s="103" t="s">
        <v>885</v>
      </c>
      <c r="D33" s="106" t="s">
        <v>29</v>
      </c>
      <c r="E33" s="106" t="s">
        <v>886</v>
      </c>
      <c r="F33" s="106" t="s">
        <v>887</v>
      </c>
      <c r="G33" s="98" t="s">
        <v>888</v>
      </c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</row>
    <row r="34" spans="1:20" s="105" customFormat="1" ht="15" customHeight="1" x14ac:dyDescent="0.25">
      <c r="A34" s="292"/>
      <c r="B34" s="279" t="s">
        <v>116</v>
      </c>
      <c r="C34" s="89" t="s">
        <v>889</v>
      </c>
      <c r="D34" s="98" t="s">
        <v>70</v>
      </c>
      <c r="E34" s="98" t="s">
        <v>175</v>
      </c>
      <c r="F34" s="98"/>
      <c r="G34" s="98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</row>
    <row r="35" spans="1:20" s="105" customFormat="1" ht="15" customHeight="1" x14ac:dyDescent="0.25">
      <c r="A35" s="292"/>
      <c r="B35" s="279"/>
      <c r="C35" s="89" t="s">
        <v>890</v>
      </c>
      <c r="D35" s="98" t="s">
        <v>71</v>
      </c>
      <c r="E35" s="98" t="s">
        <v>175</v>
      </c>
      <c r="F35" s="98"/>
      <c r="G35" s="98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</row>
    <row r="36" spans="1:20" s="105" customFormat="1" ht="59.45" customHeight="1" x14ac:dyDescent="0.25">
      <c r="A36" s="292"/>
      <c r="B36" s="279"/>
      <c r="C36" s="89" t="s">
        <v>867</v>
      </c>
      <c r="D36" s="98" t="s">
        <v>25</v>
      </c>
      <c r="E36" s="98" t="s">
        <v>164</v>
      </c>
      <c r="F36" s="98"/>
      <c r="G36" s="98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</row>
    <row r="37" spans="1:20" s="109" customFormat="1" ht="15.75" x14ac:dyDescent="0.25">
      <c r="A37" s="292"/>
      <c r="B37" s="279" t="s">
        <v>133</v>
      </c>
      <c r="C37" s="89" t="s">
        <v>891</v>
      </c>
      <c r="D37" s="98" t="s">
        <v>35</v>
      </c>
      <c r="E37" s="98" t="s">
        <v>175</v>
      </c>
      <c r="F37" s="107"/>
      <c r="G37" s="107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</row>
    <row r="38" spans="1:20" s="109" customFormat="1" ht="15.75" x14ac:dyDescent="0.25">
      <c r="A38" s="292"/>
      <c r="B38" s="279"/>
      <c r="C38" s="89" t="s">
        <v>868</v>
      </c>
      <c r="D38" s="98" t="s">
        <v>46</v>
      </c>
      <c r="E38" s="98" t="s">
        <v>175</v>
      </c>
      <c r="F38" s="107"/>
      <c r="G38" s="107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</row>
    <row r="39" spans="1:20" s="109" customFormat="1" ht="25.5" x14ac:dyDescent="0.25">
      <c r="A39" s="293"/>
      <c r="B39" s="279"/>
      <c r="C39" s="89" t="s">
        <v>869</v>
      </c>
      <c r="D39" s="98" t="s">
        <v>29</v>
      </c>
      <c r="E39" s="106" t="s">
        <v>886</v>
      </c>
      <c r="F39" s="107"/>
      <c r="G39" s="107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</row>
    <row r="40" spans="1:20" s="115" customFormat="1" ht="25.5" x14ac:dyDescent="0.25">
      <c r="A40" s="280" t="s">
        <v>31</v>
      </c>
      <c r="B40" s="110" t="s">
        <v>41</v>
      </c>
      <c r="C40" s="111"/>
      <c r="D40" s="112" t="s">
        <v>48</v>
      </c>
      <c r="E40" s="112" t="s">
        <v>164</v>
      </c>
      <c r="F40" s="112"/>
      <c r="G40" s="112"/>
      <c r="H40" s="113"/>
      <c r="I40" s="113"/>
      <c r="J40" s="113"/>
      <c r="K40" s="114">
        <v>3</v>
      </c>
      <c r="L40" s="113"/>
      <c r="M40" s="113"/>
      <c r="N40" s="113"/>
      <c r="O40" s="113"/>
      <c r="P40" s="113"/>
      <c r="Q40" s="113"/>
      <c r="R40" s="113"/>
      <c r="S40" s="113"/>
      <c r="T40" s="113"/>
    </row>
    <row r="41" spans="1:20" s="115" customFormat="1" ht="35.450000000000003" customHeight="1" x14ac:dyDescent="0.25">
      <c r="A41" s="281"/>
      <c r="B41" s="285" t="s">
        <v>32</v>
      </c>
      <c r="C41" s="286"/>
      <c r="D41" s="307" t="s">
        <v>909</v>
      </c>
      <c r="E41" s="307" t="s">
        <v>164</v>
      </c>
      <c r="F41" s="112" t="s">
        <v>910</v>
      </c>
      <c r="G41" s="112" t="s">
        <v>912</v>
      </c>
      <c r="H41" s="113"/>
      <c r="I41" s="113"/>
      <c r="J41" s="113"/>
      <c r="K41" s="114"/>
      <c r="L41" s="113"/>
      <c r="M41" s="113"/>
      <c r="N41" s="113"/>
      <c r="O41" s="113"/>
      <c r="P41" s="113"/>
      <c r="Q41" s="113"/>
      <c r="R41" s="113"/>
      <c r="S41" s="113"/>
      <c r="T41" s="113"/>
    </row>
    <row r="42" spans="1:20" s="115" customFormat="1" ht="106.9" customHeight="1" x14ac:dyDescent="0.25">
      <c r="A42" s="281"/>
      <c r="B42" s="287"/>
      <c r="C42" s="288"/>
      <c r="D42" s="313"/>
      <c r="E42" s="313"/>
      <c r="F42" s="307" t="s">
        <v>911</v>
      </c>
      <c r="G42" s="112" t="s">
        <v>913</v>
      </c>
      <c r="H42" s="307" t="s">
        <v>258</v>
      </c>
      <c r="I42" s="116"/>
      <c r="J42" s="113"/>
      <c r="K42" s="112" t="s">
        <v>915</v>
      </c>
      <c r="L42" s="305">
        <v>1</v>
      </c>
      <c r="M42" s="307" t="s">
        <v>258</v>
      </c>
      <c r="N42" s="113"/>
      <c r="O42" s="113"/>
      <c r="P42" s="113"/>
      <c r="Q42" s="113"/>
      <c r="R42" s="113"/>
      <c r="S42" s="113"/>
      <c r="T42" s="113"/>
    </row>
    <row r="43" spans="1:20" s="115" customFormat="1" ht="103.15" customHeight="1" x14ac:dyDescent="0.25">
      <c r="A43" s="281"/>
      <c r="B43" s="289"/>
      <c r="C43" s="290"/>
      <c r="D43" s="308"/>
      <c r="E43" s="308"/>
      <c r="F43" s="308"/>
      <c r="G43" s="112" t="s">
        <v>914</v>
      </c>
      <c r="H43" s="308"/>
      <c r="I43" s="117"/>
      <c r="J43" s="113"/>
      <c r="K43" s="112" t="s">
        <v>946</v>
      </c>
      <c r="L43" s="306"/>
      <c r="M43" s="308"/>
      <c r="N43" s="113"/>
      <c r="O43" s="143">
        <v>2</v>
      </c>
      <c r="P43" s="113"/>
      <c r="Q43" s="113"/>
      <c r="R43" s="113"/>
      <c r="S43" s="113"/>
      <c r="T43" s="113"/>
    </row>
    <row r="44" spans="1:20" s="115" customFormat="1" ht="18" customHeight="1" x14ac:dyDescent="0.25">
      <c r="A44" s="281"/>
      <c r="B44" s="285" t="s">
        <v>33</v>
      </c>
      <c r="C44" s="286"/>
      <c r="D44" s="307" t="s">
        <v>48</v>
      </c>
      <c r="E44" s="309" t="s">
        <v>164</v>
      </c>
      <c r="F44" s="117" t="s">
        <v>918</v>
      </c>
      <c r="G44" s="311" t="s">
        <v>920</v>
      </c>
      <c r="H44" s="117"/>
      <c r="I44" s="117"/>
      <c r="J44" s="113"/>
      <c r="K44" s="112"/>
      <c r="L44" s="118"/>
      <c r="M44" s="117"/>
      <c r="N44" s="113"/>
      <c r="O44" s="143"/>
      <c r="P44" s="113"/>
      <c r="Q44" s="113"/>
      <c r="R44" s="113"/>
      <c r="S44" s="113"/>
      <c r="T44" s="113"/>
    </row>
    <row r="45" spans="1:20" s="115" customFormat="1" x14ac:dyDescent="0.25">
      <c r="A45" s="281"/>
      <c r="B45" s="289"/>
      <c r="C45" s="290"/>
      <c r="D45" s="308"/>
      <c r="E45" s="310"/>
      <c r="F45" s="112" t="s">
        <v>919</v>
      </c>
      <c r="G45" s="312"/>
      <c r="H45" s="114"/>
      <c r="I45" s="114"/>
      <c r="J45" s="114"/>
      <c r="K45" s="114"/>
      <c r="L45" s="114">
        <v>1</v>
      </c>
      <c r="M45" s="114"/>
      <c r="N45" s="114">
        <v>2</v>
      </c>
      <c r="O45" s="114"/>
      <c r="P45" s="114"/>
      <c r="Q45" s="114"/>
      <c r="R45" s="114"/>
      <c r="S45" s="114"/>
      <c r="T45" s="114"/>
    </row>
    <row r="46" spans="1:20" s="115" customFormat="1" ht="25.5" x14ac:dyDescent="0.25">
      <c r="A46" s="281"/>
      <c r="B46" s="285" t="s">
        <v>34</v>
      </c>
      <c r="C46" s="286"/>
      <c r="D46" s="307" t="s">
        <v>909</v>
      </c>
      <c r="E46" s="307" t="s">
        <v>164</v>
      </c>
      <c r="F46" s="112" t="s">
        <v>910</v>
      </c>
      <c r="G46" s="311" t="s">
        <v>920</v>
      </c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</row>
    <row r="47" spans="1:20" s="115" customFormat="1" ht="90" customHeight="1" x14ac:dyDescent="0.25">
      <c r="A47" s="281"/>
      <c r="B47" s="289"/>
      <c r="C47" s="290"/>
      <c r="D47" s="308"/>
      <c r="E47" s="308"/>
      <c r="F47" s="112" t="s">
        <v>911</v>
      </c>
      <c r="G47" s="312"/>
      <c r="H47" s="113"/>
      <c r="I47" s="113"/>
      <c r="J47" s="113"/>
      <c r="K47" s="112" t="s">
        <v>922</v>
      </c>
      <c r="L47" s="113"/>
      <c r="M47" s="113"/>
      <c r="N47" s="113"/>
      <c r="O47" s="113"/>
      <c r="P47" s="113"/>
      <c r="Q47" s="113"/>
      <c r="R47" s="113"/>
      <c r="S47" s="113"/>
      <c r="T47" s="113"/>
    </row>
    <row r="48" spans="1:20" s="115" customFormat="1" ht="38.25" x14ac:dyDescent="0.25">
      <c r="A48" s="281"/>
      <c r="B48" s="147" t="s">
        <v>36</v>
      </c>
      <c r="C48" s="144"/>
      <c r="D48" s="145" t="s">
        <v>909</v>
      </c>
      <c r="E48" s="145" t="s">
        <v>164</v>
      </c>
      <c r="F48" s="145"/>
      <c r="G48" s="112" t="s">
        <v>920</v>
      </c>
      <c r="H48" s="146"/>
      <c r="I48" s="146"/>
      <c r="J48" s="146"/>
      <c r="K48" s="146" t="s">
        <v>924</v>
      </c>
      <c r="L48" s="146"/>
      <c r="M48" s="146"/>
      <c r="N48" s="146"/>
      <c r="O48" s="146"/>
      <c r="P48" s="146"/>
      <c r="Q48" s="113"/>
      <c r="R48" s="113"/>
      <c r="S48" s="113"/>
      <c r="T48" s="113"/>
    </row>
    <row r="49" spans="1:20" s="115" customFormat="1" ht="25.5" x14ac:dyDescent="0.25">
      <c r="A49" s="281"/>
      <c r="B49" s="110" t="s">
        <v>259</v>
      </c>
      <c r="C49" s="111"/>
      <c r="D49" s="112" t="s">
        <v>35</v>
      </c>
      <c r="E49" s="112" t="s">
        <v>175</v>
      </c>
      <c r="F49" s="112"/>
      <c r="G49" s="112"/>
      <c r="H49" s="113"/>
      <c r="I49" s="113"/>
      <c r="J49" s="113"/>
      <c r="K49" s="112" t="s">
        <v>923</v>
      </c>
      <c r="L49" s="113"/>
      <c r="M49" s="113"/>
      <c r="N49" s="113"/>
      <c r="O49" s="113"/>
      <c r="P49" s="113"/>
      <c r="Q49" s="113"/>
      <c r="R49" s="113"/>
      <c r="S49" s="113"/>
      <c r="T49" s="113"/>
    </row>
    <row r="50" spans="1:20" s="115" customFormat="1" x14ac:dyDescent="0.25">
      <c r="A50" s="281"/>
      <c r="B50" s="285" t="s">
        <v>266</v>
      </c>
      <c r="C50" s="286"/>
      <c r="D50" s="307" t="s">
        <v>909</v>
      </c>
      <c r="E50" s="307" t="s">
        <v>164</v>
      </c>
      <c r="F50" s="112" t="s">
        <v>918</v>
      </c>
      <c r="G50" s="112"/>
      <c r="H50" s="113"/>
      <c r="I50" s="113"/>
      <c r="J50" s="113"/>
      <c r="K50" s="112"/>
      <c r="L50" s="113"/>
      <c r="M50" s="113"/>
      <c r="N50" s="113"/>
      <c r="O50" s="113"/>
      <c r="P50" s="113"/>
      <c r="Q50" s="113"/>
      <c r="R50" s="113"/>
      <c r="S50" s="113"/>
      <c r="T50" s="113"/>
    </row>
    <row r="51" spans="1:20" s="115" customFormat="1" ht="64.900000000000006" customHeight="1" x14ac:dyDescent="0.25">
      <c r="A51" s="281"/>
      <c r="B51" s="287"/>
      <c r="C51" s="288"/>
      <c r="D51" s="313"/>
      <c r="E51" s="313"/>
      <c r="F51" s="112" t="s">
        <v>921</v>
      </c>
      <c r="G51" s="112" t="s">
        <v>926</v>
      </c>
      <c r="H51" s="113"/>
      <c r="I51" s="113"/>
      <c r="J51" s="113"/>
      <c r="K51" s="112" t="s">
        <v>925</v>
      </c>
      <c r="L51" s="113"/>
      <c r="M51" s="113"/>
      <c r="N51" s="113"/>
      <c r="O51" s="113"/>
      <c r="P51" s="113"/>
      <c r="Q51" s="113"/>
      <c r="R51" s="113"/>
      <c r="S51" s="113"/>
      <c r="T51" s="113"/>
    </row>
    <row r="52" spans="1:20" s="115" customFormat="1" ht="153" x14ac:dyDescent="0.25">
      <c r="A52" s="282"/>
      <c r="B52" s="289"/>
      <c r="C52" s="290"/>
      <c r="D52" s="308"/>
      <c r="E52" s="308"/>
      <c r="F52" s="112" t="s">
        <v>911</v>
      </c>
      <c r="G52" s="112" t="s">
        <v>927</v>
      </c>
      <c r="H52" s="113"/>
      <c r="I52" s="113"/>
      <c r="J52" s="113"/>
      <c r="K52" s="184" t="s">
        <v>947</v>
      </c>
      <c r="L52" s="114">
        <v>1</v>
      </c>
      <c r="M52" s="114"/>
      <c r="N52" s="114">
        <v>1</v>
      </c>
      <c r="O52" s="113"/>
      <c r="P52" s="113"/>
      <c r="Q52" s="113"/>
      <c r="R52" s="113"/>
      <c r="S52" s="113"/>
      <c r="T52" s="113"/>
    </row>
    <row r="53" spans="1:20" s="59" customFormat="1" ht="15.75" x14ac:dyDescent="0.25">
      <c r="A53" s="295" t="s">
        <v>2</v>
      </c>
      <c r="B53" s="270" t="s">
        <v>159</v>
      </c>
      <c r="C53" s="271"/>
      <c r="D53" s="274" t="s">
        <v>48</v>
      </c>
      <c r="E53" s="274" t="s">
        <v>198</v>
      </c>
      <c r="F53" s="154" t="s">
        <v>918</v>
      </c>
      <c r="G53" s="20" t="s">
        <v>938</v>
      </c>
      <c r="H53" s="151"/>
      <c r="I53" s="152"/>
      <c r="J53" s="152"/>
      <c r="K53" s="152"/>
      <c r="L53" s="152"/>
      <c r="M53" s="153"/>
      <c r="N53" s="152"/>
      <c r="O53" s="152"/>
      <c r="P53" s="152"/>
      <c r="Q53" s="152"/>
      <c r="R53" s="152"/>
      <c r="S53" s="152"/>
      <c r="T53" s="152"/>
    </row>
    <row r="54" spans="1:20" s="19" customFormat="1" ht="135.6" customHeight="1" x14ac:dyDescent="0.2">
      <c r="A54" s="295"/>
      <c r="B54" s="272"/>
      <c r="C54" s="273"/>
      <c r="D54" s="275"/>
      <c r="E54" s="275"/>
      <c r="F54" s="20" t="s">
        <v>919</v>
      </c>
      <c r="G54" s="20" t="s">
        <v>948</v>
      </c>
      <c r="H54" s="84"/>
      <c r="I54" s="84"/>
      <c r="J54" s="84"/>
      <c r="K54" s="265" t="s">
        <v>944</v>
      </c>
      <c r="L54" s="266"/>
      <c r="M54" s="266"/>
      <c r="N54" s="266"/>
      <c r="O54" s="266"/>
      <c r="P54" s="266"/>
      <c r="Q54" s="266"/>
      <c r="R54" s="266"/>
      <c r="S54" s="266"/>
      <c r="T54" s="267"/>
    </row>
    <row r="55" spans="1:20" s="115" customFormat="1" x14ac:dyDescent="0.25">
      <c r="A55" s="295"/>
      <c r="B55" s="283" t="s">
        <v>45</v>
      </c>
      <c r="C55" s="284"/>
      <c r="D55" s="125" t="s">
        <v>35</v>
      </c>
      <c r="E55" s="125" t="s">
        <v>175</v>
      </c>
      <c r="F55" s="125"/>
      <c r="G55" s="125" t="s">
        <v>201</v>
      </c>
      <c r="H55" s="122"/>
      <c r="I55" s="122"/>
      <c r="J55" s="122"/>
      <c r="K55" s="149">
        <v>2</v>
      </c>
      <c r="L55" s="149"/>
      <c r="M55" s="149"/>
      <c r="N55" s="149">
        <v>2</v>
      </c>
      <c r="O55" s="149"/>
      <c r="P55" s="149"/>
      <c r="Q55" s="149"/>
      <c r="R55" s="122"/>
      <c r="S55" s="122"/>
      <c r="T55" s="122"/>
    </row>
    <row r="56" spans="1:20" s="115" customFormat="1" x14ac:dyDescent="0.25">
      <c r="A56" s="295"/>
      <c r="B56" s="240" t="s">
        <v>262</v>
      </c>
      <c r="C56" s="241"/>
      <c r="D56" s="125" t="s">
        <v>35</v>
      </c>
      <c r="E56" s="125" t="s">
        <v>175</v>
      </c>
      <c r="F56" s="125"/>
      <c r="G56" s="125" t="s">
        <v>201</v>
      </c>
      <c r="H56" s="122"/>
      <c r="I56" s="122"/>
      <c r="J56" s="122"/>
      <c r="K56" s="149">
        <v>2</v>
      </c>
      <c r="L56" s="149"/>
      <c r="M56" s="149"/>
      <c r="N56" s="149">
        <v>4</v>
      </c>
      <c r="O56" s="149"/>
      <c r="P56" s="149"/>
      <c r="Q56" s="149">
        <v>1</v>
      </c>
      <c r="R56" s="122"/>
      <c r="S56" s="122"/>
      <c r="T56" s="122"/>
    </row>
    <row r="57" spans="1:20" s="115" customFormat="1" x14ac:dyDescent="0.25">
      <c r="A57" s="295"/>
      <c r="B57" s="240" t="s">
        <v>4</v>
      </c>
      <c r="C57" s="241"/>
      <c r="D57" s="125" t="s">
        <v>35</v>
      </c>
      <c r="E57" s="125" t="s">
        <v>175</v>
      </c>
      <c r="F57" s="125"/>
      <c r="G57" s="125" t="s">
        <v>201</v>
      </c>
      <c r="H57" s="122"/>
      <c r="I57" s="122"/>
      <c r="J57" s="122"/>
      <c r="K57" s="149">
        <v>4</v>
      </c>
      <c r="L57" s="149"/>
      <c r="M57" s="149">
        <v>10</v>
      </c>
      <c r="N57" s="149">
        <v>8</v>
      </c>
      <c r="O57" s="149"/>
      <c r="P57" s="149">
        <v>0.5</v>
      </c>
      <c r="Q57" s="149">
        <v>2</v>
      </c>
      <c r="R57" s="122"/>
      <c r="S57" s="122"/>
      <c r="T57" s="122"/>
    </row>
    <row r="58" spans="1:20" s="115" customFormat="1" ht="73.900000000000006" customHeight="1" x14ac:dyDescent="0.25">
      <c r="A58" s="295"/>
      <c r="B58" s="126" t="s">
        <v>69</v>
      </c>
      <c r="C58" s="127"/>
      <c r="D58" s="125" t="s">
        <v>35</v>
      </c>
      <c r="E58" s="125" t="s">
        <v>175</v>
      </c>
      <c r="F58" s="125"/>
      <c r="G58" s="125" t="s">
        <v>201</v>
      </c>
      <c r="H58" s="122"/>
      <c r="I58" s="122"/>
      <c r="J58" s="122"/>
      <c r="K58" s="125" t="s">
        <v>949</v>
      </c>
      <c r="L58" s="122"/>
      <c r="M58" s="125" t="s">
        <v>950</v>
      </c>
      <c r="N58" s="125" t="s">
        <v>951</v>
      </c>
      <c r="O58" s="125" t="s">
        <v>949</v>
      </c>
      <c r="P58" s="149">
        <v>1</v>
      </c>
      <c r="Q58" s="149">
        <v>4</v>
      </c>
      <c r="R58" s="122"/>
      <c r="S58" s="122"/>
      <c r="T58" s="122"/>
    </row>
    <row r="59" spans="1:20" s="115" customFormat="1" ht="38.25" x14ac:dyDescent="0.25">
      <c r="A59" s="295"/>
      <c r="B59" s="240" t="s">
        <v>5</v>
      </c>
      <c r="C59" s="241"/>
      <c r="D59" s="125" t="s">
        <v>35</v>
      </c>
      <c r="E59" s="125" t="s">
        <v>175</v>
      </c>
      <c r="F59" s="125" t="s">
        <v>200</v>
      </c>
      <c r="G59" s="125" t="s">
        <v>199</v>
      </c>
      <c r="H59" s="122"/>
      <c r="I59" s="122"/>
      <c r="J59" s="122"/>
      <c r="K59" s="122"/>
      <c r="L59" s="122"/>
      <c r="M59" s="122"/>
      <c r="N59" s="128"/>
      <c r="O59" s="128">
        <v>5</v>
      </c>
      <c r="P59" s="129">
        <v>2</v>
      </c>
      <c r="Q59" s="129">
        <v>2</v>
      </c>
      <c r="R59" s="122"/>
      <c r="S59" s="122"/>
      <c r="T59" s="122"/>
    </row>
    <row r="60" spans="1:20" s="115" customFormat="1" ht="38.25" x14ac:dyDescent="0.25">
      <c r="A60" s="295"/>
      <c r="B60" s="240" t="s">
        <v>161</v>
      </c>
      <c r="C60" s="241"/>
      <c r="D60" s="125" t="s">
        <v>35</v>
      </c>
      <c r="E60" s="125" t="s">
        <v>175</v>
      </c>
      <c r="F60" s="125" t="s">
        <v>200</v>
      </c>
      <c r="G60" s="125" t="s">
        <v>199</v>
      </c>
      <c r="H60" s="122"/>
      <c r="I60" s="122"/>
      <c r="J60" s="122"/>
      <c r="K60" s="122"/>
      <c r="L60" s="122"/>
      <c r="M60" s="122"/>
      <c r="N60" s="128"/>
      <c r="O60" s="128">
        <v>2</v>
      </c>
      <c r="P60" s="129"/>
      <c r="Q60" s="129">
        <v>2</v>
      </c>
      <c r="R60" s="122"/>
      <c r="S60" s="122"/>
      <c r="T60" s="122"/>
    </row>
    <row r="61" spans="1:20" s="115" customFormat="1" ht="25.5" x14ac:dyDescent="0.25">
      <c r="A61" s="295"/>
      <c r="B61" s="126" t="s">
        <v>260</v>
      </c>
      <c r="C61" s="127"/>
      <c r="D61" s="125" t="s">
        <v>35</v>
      </c>
      <c r="E61" s="125" t="s">
        <v>175</v>
      </c>
      <c r="F61" s="125"/>
      <c r="G61" s="125" t="s">
        <v>941</v>
      </c>
      <c r="H61" s="122"/>
      <c r="I61" s="122"/>
      <c r="J61" s="122"/>
      <c r="K61" s="149">
        <v>8</v>
      </c>
      <c r="L61" s="149"/>
      <c r="M61" s="149"/>
      <c r="N61" s="149"/>
      <c r="O61" s="149">
        <v>1</v>
      </c>
      <c r="P61" s="149"/>
      <c r="Q61" s="149"/>
      <c r="R61" s="122"/>
      <c r="S61" s="122"/>
      <c r="T61" s="122"/>
    </row>
    <row r="62" spans="1:20" s="115" customFormat="1" ht="25.5" x14ac:dyDescent="0.25">
      <c r="A62" s="295"/>
      <c r="B62" s="126" t="s">
        <v>261</v>
      </c>
      <c r="C62" s="127"/>
      <c r="D62" s="125" t="s">
        <v>35</v>
      </c>
      <c r="E62" s="125" t="s">
        <v>175</v>
      </c>
      <c r="F62" s="125"/>
      <c r="G62" s="125" t="s">
        <v>940</v>
      </c>
      <c r="H62" s="122"/>
      <c r="I62" s="122"/>
      <c r="J62" s="122"/>
      <c r="K62" s="149">
        <v>5</v>
      </c>
      <c r="L62" s="149"/>
      <c r="M62" s="149"/>
      <c r="N62" s="149"/>
      <c r="O62" s="149">
        <v>1</v>
      </c>
      <c r="P62" s="149"/>
      <c r="Q62" s="149"/>
      <c r="R62" s="122"/>
      <c r="S62" s="122"/>
      <c r="T62" s="122"/>
    </row>
    <row r="63" spans="1:20" s="115" customFormat="1" ht="79.150000000000006" customHeight="1" x14ac:dyDescent="0.25">
      <c r="A63" s="295"/>
      <c r="B63" s="123" t="s">
        <v>30</v>
      </c>
      <c r="C63" s="124"/>
      <c r="D63" s="125" t="s">
        <v>35</v>
      </c>
      <c r="E63" s="125" t="s">
        <v>175</v>
      </c>
      <c r="F63" s="125"/>
      <c r="G63" s="125" t="s">
        <v>201</v>
      </c>
      <c r="H63" s="122"/>
      <c r="I63" s="122"/>
      <c r="J63" s="122"/>
      <c r="K63" s="125" t="s">
        <v>952</v>
      </c>
      <c r="L63" s="122"/>
      <c r="M63" s="122"/>
      <c r="N63" s="125" t="s">
        <v>953</v>
      </c>
      <c r="O63" s="122"/>
      <c r="P63" s="122"/>
      <c r="Q63" s="122"/>
      <c r="R63" s="122"/>
      <c r="S63" s="122"/>
      <c r="T63" s="122"/>
    </row>
    <row r="64" spans="1:20" s="115" customFormat="1" x14ac:dyDescent="0.25">
      <c r="A64" s="295"/>
      <c r="B64" s="123" t="s">
        <v>271</v>
      </c>
      <c r="C64" s="124"/>
      <c r="D64" s="125" t="s">
        <v>35</v>
      </c>
      <c r="E64" s="125" t="s">
        <v>175</v>
      </c>
      <c r="F64" s="125"/>
      <c r="G64" s="125" t="s">
        <v>201</v>
      </c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</row>
    <row r="65" spans="1:20" s="115" customFormat="1" ht="25.5" x14ac:dyDescent="0.25">
      <c r="A65" s="296"/>
      <c r="B65" s="240" t="s">
        <v>10</v>
      </c>
      <c r="C65" s="241"/>
      <c r="D65" s="121" t="s">
        <v>162</v>
      </c>
      <c r="E65" s="125" t="s">
        <v>175</v>
      </c>
      <c r="F65" s="121"/>
      <c r="G65" s="121" t="s">
        <v>75</v>
      </c>
      <c r="H65" s="122"/>
      <c r="I65" s="122"/>
      <c r="J65" s="122"/>
      <c r="K65" s="122"/>
      <c r="L65" s="122"/>
      <c r="M65" s="122"/>
      <c r="N65" s="122"/>
      <c r="O65" s="128" t="s">
        <v>955</v>
      </c>
      <c r="P65" s="128" t="s">
        <v>955</v>
      </c>
      <c r="Q65" s="128" t="s">
        <v>956</v>
      </c>
      <c r="R65" s="122"/>
      <c r="S65" s="122"/>
      <c r="T65" s="122"/>
    </row>
    <row r="66" spans="1:20" s="115" customFormat="1" ht="16.899999999999999" customHeight="1" x14ac:dyDescent="0.25">
      <c r="A66" s="297" t="s">
        <v>79</v>
      </c>
      <c r="B66" s="301" t="s">
        <v>43</v>
      </c>
      <c r="C66" s="302"/>
      <c r="D66" s="268" t="s">
        <v>47</v>
      </c>
      <c r="E66" s="268" t="s">
        <v>164</v>
      </c>
      <c r="F66" s="130" t="s">
        <v>854</v>
      </c>
      <c r="G66" s="130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</row>
    <row r="67" spans="1:20" s="115" customFormat="1" x14ac:dyDescent="0.25">
      <c r="A67" s="298"/>
      <c r="B67" s="303"/>
      <c r="C67" s="304"/>
      <c r="D67" s="269"/>
      <c r="E67" s="269"/>
      <c r="F67" s="130" t="s">
        <v>937</v>
      </c>
      <c r="G67" s="130"/>
      <c r="H67" s="131"/>
      <c r="I67" s="131"/>
      <c r="J67" s="131"/>
      <c r="K67" s="150">
        <f>K96</f>
        <v>30</v>
      </c>
      <c r="L67" s="150"/>
      <c r="M67" s="150"/>
      <c r="N67" s="150"/>
      <c r="O67" s="150">
        <f>5+O96</f>
        <v>15</v>
      </c>
      <c r="P67" s="150">
        <f>1+P96</f>
        <v>2</v>
      </c>
      <c r="Q67" s="150">
        <v>1</v>
      </c>
      <c r="R67" s="131"/>
      <c r="S67" s="131"/>
      <c r="T67" s="131"/>
    </row>
    <row r="68" spans="1:20" s="115" customFormat="1" x14ac:dyDescent="0.25">
      <c r="A68" s="298"/>
      <c r="B68" s="301" t="s">
        <v>44</v>
      </c>
      <c r="C68" s="302"/>
      <c r="D68" s="268" t="s">
        <v>47</v>
      </c>
      <c r="E68" s="268" t="s">
        <v>164</v>
      </c>
      <c r="F68" s="130" t="s">
        <v>854</v>
      </c>
      <c r="G68" s="130"/>
      <c r="H68" s="131"/>
      <c r="I68" s="131"/>
      <c r="J68" s="131"/>
      <c r="K68" s="150"/>
      <c r="L68" s="150"/>
      <c r="M68" s="150"/>
      <c r="N68" s="150"/>
      <c r="O68" s="150"/>
      <c r="P68" s="150"/>
      <c r="Q68" s="150"/>
      <c r="R68" s="131"/>
      <c r="S68" s="131"/>
      <c r="T68" s="131"/>
    </row>
    <row r="69" spans="1:20" s="115" customFormat="1" ht="16.899999999999999" customHeight="1" x14ac:dyDescent="0.25">
      <c r="A69" s="298"/>
      <c r="B69" s="303"/>
      <c r="C69" s="304"/>
      <c r="D69" s="269"/>
      <c r="E69" s="269"/>
      <c r="F69" s="130" t="s">
        <v>937</v>
      </c>
      <c r="G69" s="130"/>
      <c r="H69" s="131"/>
      <c r="I69" s="131"/>
      <c r="J69" s="131"/>
      <c r="K69" s="150">
        <f>K98</f>
        <v>3</v>
      </c>
      <c r="L69" s="150"/>
      <c r="M69" s="150"/>
      <c r="N69" s="150"/>
      <c r="O69" s="150">
        <f t="shared" ref="O69:Q69" si="0">O98</f>
        <v>3</v>
      </c>
      <c r="P69" s="150">
        <f t="shared" si="0"/>
        <v>0.5</v>
      </c>
      <c r="Q69" s="150">
        <f t="shared" si="0"/>
        <v>0.5</v>
      </c>
      <c r="R69" s="131"/>
      <c r="S69" s="131"/>
      <c r="T69" s="131"/>
    </row>
    <row r="70" spans="1:20" s="115" customFormat="1" ht="16.899999999999999" customHeight="1" x14ac:dyDescent="0.25">
      <c r="A70" s="298"/>
      <c r="B70" s="301" t="s">
        <v>54</v>
      </c>
      <c r="C70" s="302"/>
      <c r="D70" s="268" t="s">
        <v>47</v>
      </c>
      <c r="E70" s="268" t="s">
        <v>164</v>
      </c>
      <c r="F70" s="130" t="s">
        <v>854</v>
      </c>
      <c r="G70" s="130"/>
      <c r="H70" s="131"/>
      <c r="I70" s="131"/>
      <c r="J70" s="131"/>
      <c r="K70" s="150"/>
      <c r="L70" s="150"/>
      <c r="M70" s="150"/>
      <c r="N70" s="150"/>
      <c r="O70" s="150"/>
      <c r="P70" s="150"/>
      <c r="Q70" s="150"/>
      <c r="R70" s="131"/>
      <c r="S70" s="131"/>
      <c r="T70" s="131"/>
    </row>
    <row r="71" spans="1:20" s="115" customFormat="1" x14ac:dyDescent="0.25">
      <c r="A71" s="298"/>
      <c r="B71" s="303"/>
      <c r="C71" s="304"/>
      <c r="D71" s="269"/>
      <c r="E71" s="269"/>
      <c r="F71" s="130" t="s">
        <v>937</v>
      </c>
      <c r="G71" s="130"/>
      <c r="H71" s="131"/>
      <c r="I71" s="131"/>
      <c r="J71" s="131"/>
      <c r="K71" s="150">
        <f>K97</f>
        <v>20</v>
      </c>
      <c r="L71" s="150"/>
      <c r="M71" s="150"/>
      <c r="N71" s="150"/>
      <c r="O71" s="150">
        <f>5+O97</f>
        <v>15</v>
      </c>
      <c r="P71" s="150">
        <f>1+P97</f>
        <v>2</v>
      </c>
      <c r="Q71" s="150">
        <f>Q97</f>
        <v>1</v>
      </c>
      <c r="R71" s="131"/>
      <c r="S71" s="131"/>
      <c r="T71" s="131"/>
    </row>
    <row r="72" spans="1:20" s="115" customFormat="1" x14ac:dyDescent="0.25">
      <c r="A72" s="298"/>
      <c r="B72" s="301" t="s">
        <v>55</v>
      </c>
      <c r="C72" s="302"/>
      <c r="D72" s="268" t="s">
        <v>47</v>
      </c>
      <c r="E72" s="268" t="s">
        <v>164</v>
      </c>
      <c r="F72" s="130" t="s">
        <v>854</v>
      </c>
      <c r="G72" s="130"/>
      <c r="H72" s="131"/>
      <c r="I72" s="131"/>
      <c r="J72" s="131"/>
      <c r="K72" s="150"/>
      <c r="L72" s="150"/>
      <c r="M72" s="150"/>
      <c r="N72" s="150"/>
      <c r="O72" s="150"/>
      <c r="P72" s="150"/>
      <c r="Q72" s="150"/>
      <c r="R72" s="131"/>
      <c r="S72" s="131"/>
      <c r="T72" s="131"/>
    </row>
    <row r="73" spans="1:20" s="115" customFormat="1" x14ac:dyDescent="0.25">
      <c r="A73" s="299"/>
      <c r="B73" s="303"/>
      <c r="C73" s="304"/>
      <c r="D73" s="269"/>
      <c r="E73" s="269"/>
      <c r="F73" s="130" t="s">
        <v>937</v>
      </c>
      <c r="G73" s="130"/>
      <c r="H73" s="131"/>
      <c r="I73" s="131"/>
      <c r="J73" s="131"/>
      <c r="K73" s="150">
        <f>K99</f>
        <v>20</v>
      </c>
      <c r="L73" s="150"/>
      <c r="M73" s="150"/>
      <c r="N73" s="150"/>
      <c r="O73" s="150">
        <f>5+O99</f>
        <v>15</v>
      </c>
      <c r="P73" s="150">
        <f>1+P99</f>
        <v>2</v>
      </c>
      <c r="Q73" s="150">
        <f>Q99</f>
        <v>1</v>
      </c>
      <c r="R73" s="131"/>
      <c r="S73" s="131"/>
      <c r="T73" s="131"/>
    </row>
    <row r="74" spans="1:20" s="115" customFormat="1" ht="51" x14ac:dyDescent="0.25">
      <c r="A74" s="300" t="s">
        <v>27</v>
      </c>
      <c r="B74" s="238" t="s">
        <v>6</v>
      </c>
      <c r="C74" s="239"/>
      <c r="D74" s="132" t="s">
        <v>73</v>
      </c>
      <c r="E74" s="132"/>
      <c r="F74" s="132"/>
      <c r="G74" s="132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</row>
    <row r="75" spans="1:20" s="115" customFormat="1" ht="25.9" customHeight="1" x14ac:dyDescent="0.25">
      <c r="A75" s="300"/>
      <c r="B75" s="238" t="s">
        <v>74</v>
      </c>
      <c r="C75" s="239"/>
      <c r="D75" s="133" t="s">
        <v>46</v>
      </c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</row>
    <row r="76" spans="1:20" s="115" customFormat="1" ht="25.9" customHeight="1" x14ac:dyDescent="0.25">
      <c r="A76" s="300"/>
      <c r="B76" s="238" t="s">
        <v>7</v>
      </c>
      <c r="C76" s="239"/>
      <c r="D76" s="132" t="s">
        <v>48</v>
      </c>
      <c r="E76" s="132"/>
      <c r="F76" s="132"/>
      <c r="G76" s="132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</row>
    <row r="77" spans="1:20" s="115" customFormat="1" ht="25.9" customHeight="1" x14ac:dyDescent="0.25">
      <c r="A77" s="300"/>
      <c r="B77" s="238" t="s">
        <v>8</v>
      </c>
      <c r="C77" s="239"/>
      <c r="D77" s="132" t="s">
        <v>48</v>
      </c>
      <c r="E77" s="132"/>
      <c r="F77" s="132"/>
      <c r="G77" s="132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</row>
    <row r="78" spans="1:20" s="115" customFormat="1" ht="25.9" customHeight="1" x14ac:dyDescent="0.25">
      <c r="A78" s="300"/>
      <c r="B78" s="238" t="s">
        <v>42</v>
      </c>
      <c r="C78" s="239"/>
      <c r="D78" s="132" t="s">
        <v>100</v>
      </c>
      <c r="E78" s="132"/>
      <c r="F78" s="132" t="s">
        <v>957</v>
      </c>
      <c r="G78" s="132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</row>
    <row r="79" spans="1:20" s="138" customFormat="1" ht="25.9" customHeight="1" x14ac:dyDescent="0.25">
      <c r="A79" s="300"/>
      <c r="B79" s="134" t="s">
        <v>72</v>
      </c>
      <c r="C79" s="135"/>
      <c r="D79" s="132" t="s">
        <v>48</v>
      </c>
      <c r="E79" s="132"/>
      <c r="F79" s="132"/>
      <c r="G79" s="136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</row>
    <row r="80" spans="1:20" s="142" customFormat="1" ht="25.9" customHeight="1" x14ac:dyDescent="0.25">
      <c r="A80" s="233" t="s">
        <v>9</v>
      </c>
      <c r="B80" s="139" t="s">
        <v>110</v>
      </c>
      <c r="C80" s="140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</row>
    <row r="81" spans="1:20" s="142" customFormat="1" ht="25.9" customHeight="1" x14ac:dyDescent="0.25">
      <c r="A81" s="234"/>
      <c r="B81" s="139" t="s">
        <v>111</v>
      </c>
      <c r="C81" s="140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</row>
    <row r="87" spans="1:20" x14ac:dyDescent="0.2">
      <c r="H87" s="87" t="s">
        <v>13</v>
      </c>
      <c r="J87" s="87" t="s">
        <v>249</v>
      </c>
      <c r="K87" s="87" t="s">
        <v>257</v>
      </c>
      <c r="L87" s="87" t="s">
        <v>15</v>
      </c>
    </row>
    <row r="88" spans="1:20" ht="51" x14ac:dyDescent="0.2">
      <c r="A88" s="3" t="s">
        <v>247</v>
      </c>
      <c r="B88" s="3" t="s">
        <v>253</v>
      </c>
      <c r="H88" s="93" t="s">
        <v>256</v>
      </c>
      <c r="I88" s="93"/>
      <c r="J88" s="93" t="s">
        <v>250</v>
      </c>
      <c r="K88" s="87">
        <v>2</v>
      </c>
    </row>
    <row r="89" spans="1:20" ht="25.5" x14ac:dyDescent="0.2">
      <c r="B89" s="3" t="s">
        <v>254</v>
      </c>
      <c r="H89" s="93" t="s">
        <v>248</v>
      </c>
      <c r="I89" s="93"/>
      <c r="J89" s="93" t="s">
        <v>252</v>
      </c>
      <c r="K89" s="87">
        <v>1</v>
      </c>
    </row>
    <row r="90" spans="1:20" ht="25.5" x14ac:dyDescent="0.2">
      <c r="B90" s="3" t="s">
        <v>255</v>
      </c>
      <c r="H90" s="93" t="s">
        <v>248</v>
      </c>
      <c r="I90" s="93"/>
      <c r="J90" s="93" t="s">
        <v>252</v>
      </c>
      <c r="K90" s="87">
        <v>1</v>
      </c>
    </row>
    <row r="91" spans="1:20" ht="15.75" thickBot="1" x14ac:dyDescent="0.25"/>
    <row r="92" spans="1:20" ht="45" x14ac:dyDescent="0.2">
      <c r="D92" s="262" t="s">
        <v>159</v>
      </c>
      <c r="E92" s="174" t="s">
        <v>881</v>
      </c>
      <c r="F92" s="175" t="s">
        <v>942</v>
      </c>
      <c r="G92" s="175" t="s">
        <v>943</v>
      </c>
      <c r="H92" s="175" t="s">
        <v>13</v>
      </c>
      <c r="I92" s="175" t="s">
        <v>928</v>
      </c>
      <c r="J92" s="175" t="s">
        <v>17</v>
      </c>
      <c r="K92" s="175" t="s">
        <v>15</v>
      </c>
      <c r="L92" s="175" t="s">
        <v>16</v>
      </c>
      <c r="M92" s="175" t="s">
        <v>14</v>
      </c>
      <c r="N92" s="176" t="s">
        <v>166</v>
      </c>
      <c r="O92" s="175" t="s">
        <v>19</v>
      </c>
      <c r="P92" s="175" t="s">
        <v>20</v>
      </c>
      <c r="Q92" s="177" t="s">
        <v>21</v>
      </c>
    </row>
    <row r="93" spans="1:20" x14ac:dyDescent="0.2">
      <c r="A93" s="3" t="s">
        <v>2</v>
      </c>
      <c r="D93" s="263"/>
      <c r="E93" s="178" t="s">
        <v>263</v>
      </c>
      <c r="F93" s="3" t="s">
        <v>264</v>
      </c>
      <c r="G93" s="3" t="s">
        <v>265</v>
      </c>
      <c r="K93" s="87">
        <v>6</v>
      </c>
      <c r="L93" s="87">
        <v>1</v>
      </c>
      <c r="N93" s="87">
        <v>8</v>
      </c>
      <c r="O93" s="87">
        <v>0.5</v>
      </c>
      <c r="P93" s="87">
        <v>0.5</v>
      </c>
      <c r="Q93" s="179"/>
    </row>
    <row r="94" spans="1:20" x14ac:dyDescent="0.2">
      <c r="D94" s="263"/>
      <c r="E94" s="178" t="s">
        <v>954</v>
      </c>
      <c r="K94" s="87" t="s">
        <v>267</v>
      </c>
      <c r="N94" s="87" t="s">
        <v>267</v>
      </c>
      <c r="Q94" s="179"/>
    </row>
    <row r="95" spans="1:20" ht="15.75" thickBot="1" x14ac:dyDescent="0.25">
      <c r="D95" s="264"/>
      <c r="E95" s="180"/>
      <c r="F95" s="181" t="s">
        <v>268</v>
      </c>
      <c r="G95" s="181"/>
      <c r="H95" s="182"/>
      <c r="I95" s="182"/>
      <c r="J95" s="182"/>
      <c r="K95" s="182" t="s">
        <v>269</v>
      </c>
      <c r="L95" s="182"/>
      <c r="M95" s="182"/>
      <c r="N95" s="182" t="s">
        <v>269</v>
      </c>
      <c r="O95" s="182"/>
      <c r="P95" s="182"/>
      <c r="Q95" s="183"/>
    </row>
    <row r="96" spans="1:20" x14ac:dyDescent="0.2">
      <c r="G96" s="3" t="s">
        <v>43</v>
      </c>
      <c r="K96" s="87">
        <v>30</v>
      </c>
      <c r="O96" s="87">
        <v>10</v>
      </c>
      <c r="P96" s="87">
        <v>1</v>
      </c>
      <c r="Q96" s="87">
        <v>1</v>
      </c>
    </row>
    <row r="97" spans="7:17" x14ac:dyDescent="0.2">
      <c r="G97" s="3" t="s">
        <v>54</v>
      </c>
      <c r="K97" s="87">
        <v>20</v>
      </c>
      <c r="O97" s="87">
        <v>10</v>
      </c>
      <c r="P97" s="87">
        <v>1</v>
      </c>
      <c r="Q97" s="87">
        <v>1</v>
      </c>
    </row>
    <row r="98" spans="7:17" x14ac:dyDescent="0.2">
      <c r="G98" s="3" t="s">
        <v>270</v>
      </c>
      <c r="K98" s="87">
        <v>3</v>
      </c>
      <c r="O98" s="87">
        <v>3</v>
      </c>
      <c r="P98" s="87">
        <v>0.5</v>
      </c>
      <c r="Q98" s="87">
        <v>0.5</v>
      </c>
    </row>
    <row r="99" spans="7:17" x14ac:dyDescent="0.2">
      <c r="G99" s="3" t="s">
        <v>55</v>
      </c>
      <c r="K99" s="87">
        <v>20</v>
      </c>
      <c r="O99" s="87">
        <v>10</v>
      </c>
      <c r="P99" s="87">
        <v>1</v>
      </c>
      <c r="Q99" s="87">
        <v>1</v>
      </c>
    </row>
    <row r="101" spans="7:17" x14ac:dyDescent="0.2">
      <c r="K101" s="87">
        <v>6</v>
      </c>
    </row>
    <row r="102" spans="7:17" x14ac:dyDescent="0.2">
      <c r="K102" s="87">
        <v>3.5</v>
      </c>
    </row>
  </sheetData>
  <mergeCells count="86">
    <mergeCell ref="G46:G47"/>
    <mergeCell ref="B50:C52"/>
    <mergeCell ref="D50:D52"/>
    <mergeCell ref="E50:E52"/>
    <mergeCell ref="B66:C67"/>
    <mergeCell ref="D66:D67"/>
    <mergeCell ref="E66:E67"/>
    <mergeCell ref="B46:C47"/>
    <mergeCell ref="D46:D47"/>
    <mergeCell ref="E46:E47"/>
    <mergeCell ref="L42:L43"/>
    <mergeCell ref="M42:M43"/>
    <mergeCell ref="B44:C45"/>
    <mergeCell ref="D44:D45"/>
    <mergeCell ref="E44:E45"/>
    <mergeCell ref="G44:G45"/>
    <mergeCell ref="D41:D43"/>
    <mergeCell ref="E41:E43"/>
    <mergeCell ref="F42:F43"/>
    <mergeCell ref="H42:H43"/>
    <mergeCell ref="A6:A17"/>
    <mergeCell ref="B6:C6"/>
    <mergeCell ref="E6:E17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2:A5"/>
    <mergeCell ref="B2:C2"/>
    <mergeCell ref="B3:C3"/>
    <mergeCell ref="B4:C4"/>
    <mergeCell ref="B5:C5"/>
    <mergeCell ref="A80:A81"/>
    <mergeCell ref="B77:C77"/>
    <mergeCell ref="B78:C78"/>
    <mergeCell ref="A53:A65"/>
    <mergeCell ref="B60:C60"/>
    <mergeCell ref="B74:C74"/>
    <mergeCell ref="B75:C75"/>
    <mergeCell ref="A66:A73"/>
    <mergeCell ref="A74:A79"/>
    <mergeCell ref="B68:C69"/>
    <mergeCell ref="B76:C76"/>
    <mergeCell ref="B65:C65"/>
    <mergeCell ref="B59:C59"/>
    <mergeCell ref="B72:C73"/>
    <mergeCell ref="B70:C71"/>
    <mergeCell ref="B34:B36"/>
    <mergeCell ref="A40:A52"/>
    <mergeCell ref="B55:C55"/>
    <mergeCell ref="B56:C56"/>
    <mergeCell ref="B57:C57"/>
    <mergeCell ref="B37:B39"/>
    <mergeCell ref="B41:C43"/>
    <mergeCell ref="A18:A39"/>
    <mergeCell ref="B18:B33"/>
    <mergeCell ref="C18:C21"/>
    <mergeCell ref="D18:D21"/>
    <mergeCell ref="C28:C29"/>
    <mergeCell ref="D28:D29"/>
    <mergeCell ref="C22:C23"/>
    <mergeCell ref="E28:E29"/>
    <mergeCell ref="E18:E21"/>
    <mergeCell ref="E22:E23"/>
    <mergeCell ref="C26:C27"/>
    <mergeCell ref="D26:D27"/>
    <mergeCell ref="E26:E27"/>
    <mergeCell ref="D22:D23"/>
    <mergeCell ref="D92:D95"/>
    <mergeCell ref="K54:T54"/>
    <mergeCell ref="D72:D73"/>
    <mergeCell ref="E72:E73"/>
    <mergeCell ref="B53:C54"/>
    <mergeCell ref="D53:D54"/>
    <mergeCell ref="E53:E54"/>
    <mergeCell ref="D68:D69"/>
    <mergeCell ref="E68:E69"/>
    <mergeCell ref="D70:D71"/>
    <mergeCell ref="E70:E71"/>
  </mergeCells>
  <phoneticPr fontId="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0406-6085-4D44-8151-60CE84E055F9}">
  <sheetPr>
    <tabColor rgb="FFFFC000"/>
  </sheetPr>
  <dimension ref="A1:Q62"/>
  <sheetViews>
    <sheetView topLeftCell="A27" zoomScale="80" zoomScaleNormal="80" workbookViewId="0">
      <selection activeCell="B61" sqref="B61:C62"/>
    </sheetView>
  </sheetViews>
  <sheetFormatPr defaultColWidth="8.85546875" defaultRowHeight="15" x14ac:dyDescent="0.2"/>
  <cols>
    <col min="1" max="1" width="28.28515625" style="3" customWidth="1"/>
    <col min="2" max="2" width="34" style="3" customWidth="1"/>
    <col min="3" max="3" width="36.85546875" style="3" customWidth="1"/>
    <col min="4" max="5" width="30.7109375" style="3" customWidth="1"/>
    <col min="6" max="17" width="13.5703125" style="3" customWidth="1"/>
    <col min="18" max="16384" width="8.85546875" style="3"/>
  </cols>
  <sheetData>
    <row r="1" spans="1:17" s="2" customFormat="1" ht="73.150000000000006" customHeight="1" x14ac:dyDescent="0.25">
      <c r="A1" s="1" t="s">
        <v>22</v>
      </c>
      <c r="B1" s="1" t="s">
        <v>23</v>
      </c>
      <c r="C1" s="1" t="s">
        <v>11</v>
      </c>
      <c r="D1" s="1" t="s">
        <v>12</v>
      </c>
      <c r="E1" s="1" t="s">
        <v>80</v>
      </c>
      <c r="F1" s="1" t="s">
        <v>13</v>
      </c>
      <c r="G1" s="1" t="s">
        <v>17</v>
      </c>
      <c r="H1" s="1" t="s">
        <v>15</v>
      </c>
      <c r="I1" s="1" t="s">
        <v>16</v>
      </c>
      <c r="J1" s="1" t="s">
        <v>14</v>
      </c>
      <c r="K1" s="1" t="s">
        <v>18</v>
      </c>
      <c r="L1" s="1" t="s">
        <v>19</v>
      </c>
      <c r="M1" s="1" t="s">
        <v>20</v>
      </c>
      <c r="N1" s="1" t="s">
        <v>21</v>
      </c>
      <c r="O1" s="42" t="s">
        <v>113</v>
      </c>
      <c r="P1" s="42" t="s">
        <v>114</v>
      </c>
      <c r="Q1" s="42" t="s">
        <v>115</v>
      </c>
    </row>
    <row r="2" spans="1:17" s="2" customFormat="1" ht="30" customHeight="1" x14ac:dyDescent="0.25">
      <c r="A2" s="316" t="s">
        <v>117</v>
      </c>
      <c r="B2" s="318" t="s">
        <v>56</v>
      </c>
      <c r="C2" s="207"/>
      <c r="D2" s="37" t="s">
        <v>47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</row>
    <row r="3" spans="1:17" s="2" customFormat="1" ht="25.5" x14ac:dyDescent="0.25">
      <c r="A3" s="317"/>
      <c r="B3" s="221" t="s">
        <v>0</v>
      </c>
      <c r="C3" s="222"/>
      <c r="D3" s="9" t="s">
        <v>47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4"/>
    </row>
    <row r="4" spans="1:17" s="2" customFormat="1" ht="25.5" x14ac:dyDescent="0.25">
      <c r="A4" s="317"/>
      <c r="B4" s="223" t="s">
        <v>1</v>
      </c>
      <c r="C4" s="224"/>
      <c r="D4" s="45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4"/>
    </row>
    <row r="5" spans="1:17" s="2" customFormat="1" ht="25.5" x14ac:dyDescent="0.25">
      <c r="A5" s="317"/>
      <c r="B5" s="339" t="s">
        <v>31</v>
      </c>
      <c r="C5" s="340"/>
      <c r="D5" s="46" t="s">
        <v>47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spans="1:17" s="2" customFormat="1" ht="25.5" x14ac:dyDescent="0.25">
      <c r="A6" s="317"/>
      <c r="B6" s="225" t="s">
        <v>2</v>
      </c>
      <c r="C6" s="226"/>
      <c r="D6" s="47" t="s">
        <v>47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</row>
    <row r="7" spans="1:17" s="2" customFormat="1" ht="25.5" x14ac:dyDescent="0.25">
      <c r="A7" s="317"/>
      <c r="B7" s="227" t="s">
        <v>27</v>
      </c>
      <c r="C7" s="228"/>
      <c r="D7" s="48" t="s">
        <v>47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4"/>
    </row>
    <row r="8" spans="1:17" s="2" customFormat="1" ht="25.5" x14ac:dyDescent="0.25">
      <c r="A8" s="317"/>
      <c r="B8" s="229" t="s">
        <v>9</v>
      </c>
      <c r="C8" s="230"/>
      <c r="D8" s="49" t="s">
        <v>47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4"/>
    </row>
    <row r="9" spans="1:17" s="2" customFormat="1" x14ac:dyDescent="0.25">
      <c r="A9" s="328" t="s">
        <v>56</v>
      </c>
      <c r="B9" s="314"/>
      <c r="C9" s="315"/>
      <c r="D9" s="57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</row>
    <row r="10" spans="1:17" s="2" customFormat="1" x14ac:dyDescent="0.25">
      <c r="A10" s="329"/>
      <c r="B10" s="314"/>
      <c r="C10" s="315"/>
      <c r="D10" s="57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</row>
    <row r="11" spans="1:17" s="2" customFormat="1" x14ac:dyDescent="0.25">
      <c r="A11" s="329"/>
      <c r="B11" s="314"/>
      <c r="C11" s="315"/>
      <c r="D11" s="57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</row>
    <row r="12" spans="1:17" s="2" customFormat="1" x14ac:dyDescent="0.25">
      <c r="A12" s="329"/>
      <c r="B12" s="314"/>
      <c r="C12" s="315"/>
      <c r="D12" s="57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</row>
    <row r="13" spans="1:17" s="2" customFormat="1" x14ac:dyDescent="0.25">
      <c r="A13" s="329"/>
      <c r="B13" s="314"/>
      <c r="C13" s="315"/>
      <c r="D13" s="57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</row>
    <row r="14" spans="1:17" s="2" customFormat="1" x14ac:dyDescent="0.25">
      <c r="A14" s="329"/>
      <c r="B14" s="314"/>
      <c r="C14" s="315"/>
      <c r="D14" s="5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</row>
    <row r="15" spans="1:17" s="2" customFormat="1" x14ac:dyDescent="0.25">
      <c r="A15" s="329"/>
      <c r="B15" s="314"/>
      <c r="C15" s="315"/>
      <c r="D15" s="5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</row>
    <row r="16" spans="1:17" s="2" customFormat="1" x14ac:dyDescent="0.25">
      <c r="A16" s="329"/>
      <c r="B16" s="314"/>
      <c r="C16" s="315"/>
      <c r="D16" s="5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</row>
    <row r="17" spans="1:17" s="2" customFormat="1" x14ac:dyDescent="0.25">
      <c r="A17" s="329"/>
      <c r="B17" s="314"/>
      <c r="C17" s="315"/>
      <c r="D17" s="57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</row>
    <row r="18" spans="1:17" s="2" customFormat="1" x14ac:dyDescent="0.25">
      <c r="A18" s="329"/>
      <c r="B18" s="314"/>
      <c r="C18" s="315"/>
      <c r="D18" s="57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/>
    </row>
    <row r="19" spans="1:17" s="2" customFormat="1" x14ac:dyDescent="0.25">
      <c r="A19" s="330"/>
      <c r="B19" s="314"/>
      <c r="C19" s="315"/>
      <c r="D19" s="57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</row>
    <row r="20" spans="1:17" s="2" customFormat="1" x14ac:dyDescent="0.25">
      <c r="A20" s="319" t="s">
        <v>0</v>
      </c>
      <c r="B20" s="320"/>
      <c r="C20" s="15"/>
      <c r="D20" s="14"/>
      <c r="E20" s="9"/>
      <c r="F20" s="22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spans="1:17" s="25" customFormat="1" x14ac:dyDescent="0.25">
      <c r="A21" s="321"/>
      <c r="B21" s="322"/>
      <c r="C21" s="23"/>
      <c r="D21" s="9"/>
      <c r="E21" s="24"/>
      <c r="F21" s="50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s="25" customFormat="1" x14ac:dyDescent="0.25">
      <c r="A22" s="321"/>
      <c r="B22" s="322"/>
      <c r="C22" s="23"/>
      <c r="D22" s="9"/>
      <c r="E22" s="24"/>
      <c r="F22" s="50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spans="1:17" s="25" customFormat="1" x14ac:dyDescent="0.25">
      <c r="A23" s="323"/>
      <c r="B23" s="324"/>
      <c r="C23" s="23"/>
      <c r="D23" s="9"/>
      <c r="E23" s="24"/>
      <c r="F23" s="50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spans="1:17" s="26" customFormat="1" x14ac:dyDescent="0.2">
      <c r="A24" s="325" t="s">
        <v>1</v>
      </c>
      <c r="B24" s="326"/>
      <c r="C24" s="60"/>
      <c r="D24" s="66"/>
      <c r="E24" s="67"/>
      <c r="F24" s="6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</row>
    <row r="25" spans="1:17" s="26" customFormat="1" x14ac:dyDescent="0.2">
      <c r="A25" s="325"/>
      <c r="B25" s="326"/>
      <c r="C25" s="69"/>
      <c r="D25" s="67"/>
      <c r="E25" s="67"/>
      <c r="F25" s="6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</row>
    <row r="26" spans="1:17" s="26" customFormat="1" x14ac:dyDescent="0.2">
      <c r="A26" s="325"/>
      <c r="B26" s="326"/>
      <c r="C26" s="69"/>
      <c r="D26" s="67"/>
      <c r="E26" s="67"/>
      <c r="F26" s="6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s="26" customFormat="1" x14ac:dyDescent="0.2">
      <c r="A27" s="325"/>
      <c r="B27" s="326"/>
      <c r="C27" s="69"/>
      <c r="D27" s="67"/>
      <c r="E27" s="67"/>
      <c r="F27" s="6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s="26" customFormat="1" x14ac:dyDescent="0.2">
      <c r="A28" s="325"/>
      <c r="B28" s="326"/>
      <c r="C28" s="70"/>
      <c r="D28" s="67"/>
      <c r="E28" s="67"/>
      <c r="F28" s="6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</row>
    <row r="29" spans="1:17" s="26" customFormat="1" x14ac:dyDescent="0.2">
      <c r="A29" s="325"/>
      <c r="B29" s="326"/>
      <c r="C29" s="60"/>
      <c r="D29" s="67"/>
      <c r="E29" s="67"/>
      <c r="F29" s="68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</row>
    <row r="30" spans="1:17" s="19" customFormat="1" x14ac:dyDescent="0.2">
      <c r="A30" s="325"/>
      <c r="B30" s="327"/>
      <c r="C30" s="68"/>
      <c r="D30" s="67"/>
      <c r="E30" s="67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</row>
    <row r="31" spans="1:17" s="19" customFormat="1" x14ac:dyDescent="0.2">
      <c r="A31" s="325"/>
      <c r="B31" s="327"/>
      <c r="C31" s="68"/>
      <c r="D31" s="67"/>
      <c r="E31" s="67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</row>
    <row r="32" spans="1:17" s="19" customFormat="1" x14ac:dyDescent="0.2">
      <c r="A32" s="325"/>
      <c r="B32" s="327"/>
      <c r="C32" s="69"/>
      <c r="D32" s="67"/>
      <c r="E32" s="67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</row>
    <row r="33" spans="1:17" s="19" customFormat="1" x14ac:dyDescent="0.2">
      <c r="A33" s="325"/>
      <c r="B33" s="327"/>
      <c r="C33" s="60"/>
      <c r="D33" s="73"/>
      <c r="E33" s="7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</row>
    <row r="34" spans="1:17" s="19" customFormat="1" x14ac:dyDescent="0.2">
      <c r="A34" s="325"/>
      <c r="B34" s="327"/>
      <c r="C34" s="68"/>
      <c r="D34" s="67"/>
      <c r="E34" s="67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</row>
    <row r="35" spans="1:17" s="19" customFormat="1" x14ac:dyDescent="0.2">
      <c r="A35" s="325"/>
      <c r="B35" s="327"/>
      <c r="C35" s="68"/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</row>
    <row r="36" spans="1:17" s="19" customFormat="1" x14ac:dyDescent="0.2">
      <c r="A36" s="325"/>
      <c r="B36" s="327"/>
      <c r="C36" s="69"/>
      <c r="D36" s="67"/>
      <c r="E36" s="67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</row>
    <row r="37" spans="1:17" s="19" customFormat="1" x14ac:dyDescent="0.2">
      <c r="A37" s="325"/>
      <c r="B37" s="327"/>
      <c r="C37" s="60"/>
      <c r="D37" s="73"/>
      <c r="E37" s="73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</row>
    <row r="38" spans="1:17" s="19" customFormat="1" x14ac:dyDescent="0.2">
      <c r="A38" s="325"/>
      <c r="B38" s="327"/>
      <c r="C38" s="60"/>
      <c r="D38" s="73"/>
      <c r="E38" s="7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</row>
    <row r="39" spans="1:17" s="59" customFormat="1" ht="26.25" x14ac:dyDescent="0.25">
      <c r="A39" s="337" t="s">
        <v>31</v>
      </c>
      <c r="B39" s="61" t="s">
        <v>41</v>
      </c>
      <c r="C39" s="62"/>
      <c r="D39" s="63" t="s">
        <v>48</v>
      </c>
      <c r="E39" s="63"/>
      <c r="F39" s="64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</row>
    <row r="40" spans="1:17" s="59" customFormat="1" ht="26.25" x14ac:dyDescent="0.25">
      <c r="A40" s="338"/>
      <c r="B40" s="61" t="s">
        <v>141</v>
      </c>
      <c r="C40" s="62" t="s">
        <v>139</v>
      </c>
      <c r="D40" s="63" t="s">
        <v>48</v>
      </c>
      <c r="E40" s="63"/>
      <c r="F40" s="64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</row>
    <row r="41" spans="1:17" s="59" customFormat="1" ht="26.25" x14ac:dyDescent="0.25">
      <c r="A41" s="338"/>
      <c r="B41" s="61" t="s">
        <v>37</v>
      </c>
      <c r="C41" s="62"/>
      <c r="D41" s="63" t="s">
        <v>109</v>
      </c>
      <c r="E41" s="63"/>
      <c r="F41" s="64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</row>
    <row r="42" spans="1:17" s="19" customFormat="1" x14ac:dyDescent="0.2">
      <c r="A42" s="351" t="s">
        <v>2</v>
      </c>
      <c r="B42" s="335" t="s">
        <v>78</v>
      </c>
      <c r="C42" s="336"/>
      <c r="D42" s="20" t="s">
        <v>35</v>
      </c>
      <c r="E42" s="20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spans="1:17" s="19" customFormat="1" x14ac:dyDescent="0.2">
      <c r="A43" s="351"/>
      <c r="B43" s="331" t="s">
        <v>3</v>
      </c>
      <c r="C43" s="332"/>
      <c r="D43" s="20" t="s">
        <v>35</v>
      </c>
      <c r="E43" s="20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 spans="1:17" s="19" customFormat="1" x14ac:dyDescent="0.2">
      <c r="A44" s="351"/>
      <c r="B44" s="331" t="s">
        <v>4</v>
      </c>
      <c r="C44" s="332"/>
      <c r="D44" s="20" t="s">
        <v>35</v>
      </c>
      <c r="E44" s="20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</row>
    <row r="45" spans="1:17" s="19" customFormat="1" x14ac:dyDescent="0.2">
      <c r="A45" s="351"/>
      <c r="B45" s="331" t="s">
        <v>69</v>
      </c>
      <c r="C45" s="332"/>
      <c r="D45" s="20" t="s">
        <v>35</v>
      </c>
      <c r="E45" s="20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spans="1:17" s="19" customFormat="1" x14ac:dyDescent="0.2">
      <c r="A46" s="351"/>
      <c r="B46" s="331" t="s">
        <v>5</v>
      </c>
      <c r="C46" s="332"/>
      <c r="D46" s="20" t="s">
        <v>35</v>
      </c>
      <c r="E46" s="20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spans="1:17" x14ac:dyDescent="0.2">
      <c r="A47" s="351"/>
      <c r="B47" s="333" t="s">
        <v>38</v>
      </c>
      <c r="C47" s="334"/>
      <c r="D47" s="5" t="s">
        <v>35</v>
      </c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2">
      <c r="A48" s="351"/>
      <c r="B48" s="16" t="s">
        <v>39</v>
      </c>
      <c r="C48" s="17"/>
      <c r="D48" s="5" t="s">
        <v>35</v>
      </c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2">
      <c r="A49" s="351"/>
      <c r="B49" s="16" t="s">
        <v>40</v>
      </c>
      <c r="C49" s="17"/>
      <c r="D49" s="5" t="s">
        <v>35</v>
      </c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s="19" customFormat="1" x14ac:dyDescent="0.2">
      <c r="A50" s="351"/>
      <c r="B50" s="335" t="s">
        <v>26</v>
      </c>
      <c r="C50" s="336"/>
      <c r="D50" s="20" t="s">
        <v>35</v>
      </c>
      <c r="E50" s="20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</row>
    <row r="51" spans="1:17" s="19" customFormat="1" x14ac:dyDescent="0.2">
      <c r="A51" s="351"/>
      <c r="B51" s="331" t="s">
        <v>76</v>
      </c>
      <c r="C51" s="332"/>
      <c r="D51" s="20" t="s">
        <v>46</v>
      </c>
      <c r="E51" s="20" t="s">
        <v>75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</row>
    <row r="52" spans="1:17" s="19" customFormat="1" x14ac:dyDescent="0.2">
      <c r="A52" s="351"/>
      <c r="B52" s="331" t="s">
        <v>10</v>
      </c>
      <c r="C52" s="332"/>
      <c r="D52" s="20" t="s">
        <v>46</v>
      </c>
      <c r="E52" s="20" t="s">
        <v>75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spans="1:17" s="19" customFormat="1" x14ac:dyDescent="0.2">
      <c r="A53" s="346" t="s">
        <v>27</v>
      </c>
      <c r="B53" s="347"/>
      <c r="C53" s="348"/>
      <c r="D53" s="30"/>
      <c r="E53" s="30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s="19" customFormat="1" ht="55.9" customHeight="1" x14ac:dyDescent="0.2">
      <c r="A54" s="346"/>
      <c r="B54" s="349" t="s">
        <v>6</v>
      </c>
      <c r="C54" s="350"/>
      <c r="D54" s="6" t="s">
        <v>73</v>
      </c>
      <c r="E54" s="30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s="19" customFormat="1" ht="25.9" customHeight="1" x14ac:dyDescent="0.2">
      <c r="A55" s="346"/>
      <c r="B55" s="349" t="s">
        <v>74</v>
      </c>
      <c r="C55" s="350"/>
      <c r="D55" s="8" t="s">
        <v>46</v>
      </c>
      <c r="E55" s="31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 s="19" customFormat="1" ht="25.9" customHeight="1" x14ac:dyDescent="0.2">
      <c r="A56" s="346"/>
      <c r="B56" s="349" t="s">
        <v>7</v>
      </c>
      <c r="C56" s="350"/>
      <c r="D56" s="7" t="s">
        <v>48</v>
      </c>
      <c r="E56" s="32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s="19" customFormat="1" ht="25.9" customHeight="1" x14ac:dyDescent="0.2">
      <c r="A57" s="346"/>
      <c r="B57" s="349" t="s">
        <v>8</v>
      </c>
      <c r="C57" s="350"/>
      <c r="D57" s="7" t="s">
        <v>48</v>
      </c>
      <c r="E57" s="32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 s="19" customFormat="1" ht="25.9" customHeight="1" x14ac:dyDescent="0.2">
      <c r="A58" s="346"/>
      <c r="B58" s="349" t="s">
        <v>42</v>
      </c>
      <c r="C58" s="350"/>
      <c r="D58" s="7" t="s">
        <v>100</v>
      </c>
      <c r="E58" s="32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s="19" customFormat="1" ht="25.9" customHeight="1" x14ac:dyDescent="0.2">
      <c r="A59" s="346"/>
      <c r="B59" s="28" t="s">
        <v>72</v>
      </c>
      <c r="C59" s="29"/>
      <c r="D59" s="7" t="s">
        <v>48</v>
      </c>
      <c r="E59" s="32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s="21" customFormat="1" x14ac:dyDescent="0.2">
      <c r="A60" s="341" t="s">
        <v>9</v>
      </c>
      <c r="B60" s="38" t="s">
        <v>110</v>
      </c>
      <c r="C60" s="39"/>
      <c r="D60" s="58" t="s">
        <v>46</v>
      </c>
      <c r="E60" s="40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spans="1:17" s="21" customFormat="1" ht="15.6" customHeight="1" x14ac:dyDescent="0.2">
      <c r="A61" s="342"/>
      <c r="B61" s="344" t="s">
        <v>111</v>
      </c>
      <c r="C61" s="56" t="s">
        <v>124</v>
      </c>
      <c r="D61" s="40"/>
      <c r="E61" s="40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</row>
    <row r="62" spans="1:17" s="21" customFormat="1" x14ac:dyDescent="0.2">
      <c r="A62" s="343"/>
      <c r="B62" s="345"/>
      <c r="C62" s="56" t="s">
        <v>114</v>
      </c>
      <c r="D62" s="40"/>
      <c r="E62" s="40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</row>
  </sheetData>
  <mergeCells count="45">
    <mergeCell ref="A39:A41"/>
    <mergeCell ref="B5:C5"/>
    <mergeCell ref="A60:A62"/>
    <mergeCell ref="B61:B62"/>
    <mergeCell ref="A53:A59"/>
    <mergeCell ref="B53:C53"/>
    <mergeCell ref="B54:C54"/>
    <mergeCell ref="B55:C55"/>
    <mergeCell ref="B56:C56"/>
    <mergeCell ref="B57:C57"/>
    <mergeCell ref="B58:C58"/>
    <mergeCell ref="A42:A52"/>
    <mergeCell ref="B42:C42"/>
    <mergeCell ref="B43:C43"/>
    <mergeCell ref="B44:C44"/>
    <mergeCell ref="B45:C45"/>
    <mergeCell ref="B46:C46"/>
    <mergeCell ref="B47:C47"/>
    <mergeCell ref="B50:C50"/>
    <mergeCell ref="B51:C51"/>
    <mergeCell ref="B52:C52"/>
    <mergeCell ref="B18:C18"/>
    <mergeCell ref="B19:C19"/>
    <mergeCell ref="A20:B23"/>
    <mergeCell ref="A24:A38"/>
    <mergeCell ref="B24:B29"/>
    <mergeCell ref="B30:B33"/>
    <mergeCell ref="B34:B38"/>
    <mergeCell ref="A9:A19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2:A8"/>
    <mergeCell ref="B2:C2"/>
    <mergeCell ref="B3:C3"/>
    <mergeCell ref="B4:C4"/>
    <mergeCell ref="B6:C6"/>
    <mergeCell ref="B7:C7"/>
    <mergeCell ref="B8:C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567A-F45F-463F-B3C4-39612E9838A6}">
  <sheetPr>
    <tabColor rgb="FFFFC000"/>
  </sheetPr>
  <dimension ref="A1:S47"/>
  <sheetViews>
    <sheetView topLeftCell="C39" zoomScale="70" zoomScaleNormal="70" workbookViewId="0">
      <selection activeCell="H52" sqref="H52"/>
    </sheetView>
  </sheetViews>
  <sheetFormatPr defaultColWidth="8.85546875" defaultRowHeight="15" x14ac:dyDescent="0.2"/>
  <cols>
    <col min="1" max="1" width="28.28515625" style="3" customWidth="1"/>
    <col min="2" max="2" width="34" style="3" customWidth="1"/>
    <col min="3" max="3" width="36.85546875" style="3" customWidth="1"/>
    <col min="4" max="7" width="30.7109375" style="3" customWidth="1"/>
    <col min="8" max="19" width="13.5703125" style="3" customWidth="1"/>
    <col min="20" max="16384" width="8.85546875" style="3"/>
  </cols>
  <sheetData>
    <row r="1" spans="1:19" s="2" customFormat="1" ht="73.150000000000006" customHeight="1" x14ac:dyDescent="0.25">
      <c r="A1" s="1" t="s">
        <v>22</v>
      </c>
      <c r="B1" s="1" t="s">
        <v>23</v>
      </c>
      <c r="C1" s="1" t="s">
        <v>11</v>
      </c>
      <c r="D1" s="1" t="s">
        <v>12</v>
      </c>
      <c r="E1" s="1" t="s">
        <v>171</v>
      </c>
      <c r="F1" s="1" t="s">
        <v>172</v>
      </c>
      <c r="G1" s="1" t="s">
        <v>165</v>
      </c>
      <c r="H1" s="1" t="s">
        <v>13</v>
      </c>
      <c r="I1" s="1" t="s">
        <v>17</v>
      </c>
      <c r="J1" s="1" t="s">
        <v>15</v>
      </c>
      <c r="K1" s="1" t="s">
        <v>16</v>
      </c>
      <c r="L1" s="1" t="s">
        <v>14</v>
      </c>
      <c r="M1" s="1" t="s">
        <v>166</v>
      </c>
      <c r="N1" s="1" t="s">
        <v>19</v>
      </c>
      <c r="O1" s="1" t="s">
        <v>20</v>
      </c>
      <c r="P1" s="1" t="s">
        <v>21</v>
      </c>
      <c r="Q1" s="42" t="s">
        <v>113</v>
      </c>
      <c r="R1" s="42" t="s">
        <v>114</v>
      </c>
      <c r="S1" s="42" t="s">
        <v>115</v>
      </c>
    </row>
    <row r="2" spans="1:19" s="2" customFormat="1" ht="30" customHeight="1" x14ac:dyDescent="0.25">
      <c r="A2" s="316" t="s">
        <v>117</v>
      </c>
      <c r="B2" s="318" t="s">
        <v>56</v>
      </c>
      <c r="C2" s="207"/>
      <c r="D2" s="37" t="s">
        <v>47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</row>
    <row r="3" spans="1:19" s="2" customFormat="1" ht="25.5" x14ac:dyDescent="0.25">
      <c r="A3" s="317"/>
      <c r="B3" s="221" t="s">
        <v>0</v>
      </c>
      <c r="C3" s="222"/>
      <c r="D3" s="9" t="s">
        <v>47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4"/>
    </row>
    <row r="4" spans="1:19" s="2" customFormat="1" ht="25.5" x14ac:dyDescent="0.25">
      <c r="A4" s="317"/>
      <c r="B4" s="223" t="s">
        <v>1</v>
      </c>
      <c r="C4" s="224"/>
      <c r="D4" s="45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4"/>
    </row>
    <row r="5" spans="1:19" s="2" customFormat="1" ht="25.5" x14ac:dyDescent="0.25">
      <c r="A5" s="317"/>
      <c r="B5" s="225" t="s">
        <v>2</v>
      </c>
      <c r="C5" s="226"/>
      <c r="D5" s="47" t="s">
        <v>47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spans="1:19" s="2" customFormat="1" ht="25.5" x14ac:dyDescent="0.25">
      <c r="A6" s="317"/>
      <c r="B6" s="227" t="s">
        <v>27</v>
      </c>
      <c r="C6" s="228"/>
      <c r="D6" s="48" t="s">
        <v>47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</row>
    <row r="7" spans="1:19" s="2" customFormat="1" ht="25.5" x14ac:dyDescent="0.25">
      <c r="A7" s="317"/>
      <c r="B7" s="229" t="s">
        <v>9</v>
      </c>
      <c r="C7" s="230"/>
      <c r="D7" s="49" t="s">
        <v>47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4"/>
    </row>
    <row r="8" spans="1:19" s="2" customFormat="1" x14ac:dyDescent="0.25">
      <c r="A8" s="328" t="s">
        <v>56</v>
      </c>
      <c r="B8" s="352"/>
      <c r="C8" s="353"/>
      <c r="D8" s="55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3"/>
      <c r="S8" s="13"/>
    </row>
    <row r="9" spans="1:19" s="2" customFormat="1" x14ac:dyDescent="0.25">
      <c r="A9" s="329"/>
      <c r="B9" s="352"/>
      <c r="C9" s="353"/>
      <c r="D9" s="55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3"/>
      <c r="S9" s="13"/>
    </row>
    <row r="10" spans="1:19" s="2" customFormat="1" x14ac:dyDescent="0.25">
      <c r="A10" s="329"/>
      <c r="B10" s="352"/>
      <c r="C10" s="353"/>
      <c r="D10" s="55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3"/>
      <c r="S10" s="13"/>
    </row>
    <row r="11" spans="1:19" s="2" customFormat="1" x14ac:dyDescent="0.25">
      <c r="A11" s="329"/>
      <c r="B11" s="352"/>
      <c r="C11" s="353"/>
      <c r="D11" s="55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3"/>
      <c r="S11" s="13"/>
    </row>
    <row r="12" spans="1:19" s="2" customFormat="1" x14ac:dyDescent="0.25">
      <c r="A12" s="329"/>
      <c r="B12" s="352"/>
      <c r="C12" s="353"/>
      <c r="D12" s="55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3"/>
      <c r="S12" s="13"/>
    </row>
    <row r="13" spans="1:19" s="2" customFormat="1" x14ac:dyDescent="0.25">
      <c r="A13" s="329"/>
      <c r="B13" s="352"/>
      <c r="C13" s="353"/>
      <c r="D13" s="5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3"/>
      <c r="S13" s="13"/>
    </row>
    <row r="14" spans="1:19" s="2" customFormat="1" x14ac:dyDescent="0.25">
      <c r="A14" s="329"/>
      <c r="B14" s="352"/>
      <c r="C14" s="353"/>
      <c r="D14" s="5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  <c r="R14" s="13"/>
      <c r="S14" s="13"/>
    </row>
    <row r="15" spans="1:19" s="2" customFormat="1" x14ac:dyDescent="0.25">
      <c r="A15" s="329"/>
      <c r="B15" s="352"/>
      <c r="C15" s="353"/>
      <c r="D15" s="5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  <c r="R15" s="13"/>
      <c r="S15" s="13"/>
    </row>
    <row r="16" spans="1:19" s="2" customFormat="1" x14ac:dyDescent="0.25">
      <c r="A16" s="329"/>
      <c r="B16" s="352"/>
      <c r="C16" s="353"/>
      <c r="D16" s="5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  <c r="R16" s="13"/>
      <c r="S16" s="13"/>
    </row>
    <row r="17" spans="1:19" s="2" customFormat="1" x14ac:dyDescent="0.25">
      <c r="A17" s="329"/>
      <c r="B17" s="352"/>
      <c r="C17" s="353"/>
      <c r="D17" s="5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  <c r="R17" s="13"/>
      <c r="S17" s="13"/>
    </row>
    <row r="18" spans="1:19" s="2" customFormat="1" x14ac:dyDescent="0.25">
      <c r="A18" s="330"/>
      <c r="B18" s="352"/>
      <c r="C18" s="353"/>
      <c r="D18" s="5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/>
      <c r="R18" s="13"/>
      <c r="S18" s="13"/>
    </row>
    <row r="19" spans="1:19" s="2" customFormat="1" x14ac:dyDescent="0.25">
      <c r="A19" s="319" t="s">
        <v>0</v>
      </c>
      <c r="B19" s="320"/>
      <c r="C19" s="15"/>
      <c r="D19" s="14"/>
      <c r="E19" s="9"/>
      <c r="F19" s="22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1"/>
      <c r="S19" s="11"/>
    </row>
    <row r="20" spans="1:19" s="25" customFormat="1" x14ac:dyDescent="0.25">
      <c r="A20" s="321"/>
      <c r="B20" s="322"/>
      <c r="C20" s="23"/>
      <c r="D20" s="9"/>
      <c r="E20" s="24"/>
      <c r="F20" s="50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spans="1:19" s="25" customFormat="1" x14ac:dyDescent="0.25">
      <c r="A21" s="321"/>
      <c r="B21" s="322"/>
      <c r="C21" s="23"/>
      <c r="D21" s="9"/>
      <c r="E21" s="24"/>
      <c r="F21" s="50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spans="1:19" s="25" customFormat="1" x14ac:dyDescent="0.25">
      <c r="A22" s="323"/>
      <c r="B22" s="324"/>
      <c r="C22" s="23"/>
      <c r="D22" s="9"/>
      <c r="E22" s="24"/>
      <c r="F22" s="50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1:19" s="26" customFormat="1" x14ac:dyDescent="0.2">
      <c r="A23" s="325" t="s">
        <v>1001</v>
      </c>
      <c r="B23" s="326"/>
      <c r="C23" s="60"/>
      <c r="D23" s="66"/>
      <c r="E23" s="67"/>
      <c r="F23" s="68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</row>
    <row r="24" spans="1:19" s="26" customFormat="1" x14ac:dyDescent="0.2">
      <c r="A24" s="325"/>
      <c r="B24" s="326"/>
      <c r="C24" s="69"/>
      <c r="D24" s="67"/>
      <c r="E24" s="67"/>
      <c r="F24" s="6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</row>
    <row r="25" spans="1:19" s="26" customFormat="1" x14ac:dyDescent="0.2">
      <c r="A25" s="325"/>
      <c r="B25" s="326"/>
      <c r="C25" s="69"/>
      <c r="D25" s="67"/>
      <c r="E25" s="67"/>
      <c r="F25" s="6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</row>
    <row r="26" spans="1:19" s="26" customFormat="1" x14ac:dyDescent="0.2">
      <c r="A26" s="325"/>
      <c r="B26" s="326"/>
      <c r="C26" s="69"/>
      <c r="D26" s="67"/>
      <c r="E26" s="67"/>
      <c r="F26" s="6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</row>
    <row r="27" spans="1:19" s="26" customFormat="1" x14ac:dyDescent="0.2">
      <c r="A27" s="325"/>
      <c r="B27" s="326"/>
      <c r="C27" s="70"/>
      <c r="D27" s="67"/>
      <c r="E27" s="67"/>
      <c r="F27" s="6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</row>
    <row r="28" spans="1:19" s="26" customFormat="1" x14ac:dyDescent="0.2">
      <c r="A28" s="325"/>
      <c r="B28" s="326"/>
      <c r="C28" s="60"/>
      <c r="D28" s="67"/>
      <c r="E28" s="67"/>
      <c r="F28" s="6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</row>
    <row r="29" spans="1:19" s="19" customFormat="1" x14ac:dyDescent="0.2">
      <c r="A29" s="325"/>
      <c r="B29" s="327"/>
      <c r="C29" s="68"/>
      <c r="D29" s="67"/>
      <c r="E29" s="67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</row>
    <row r="30" spans="1:19" s="19" customFormat="1" x14ac:dyDescent="0.2">
      <c r="A30" s="325"/>
      <c r="B30" s="327"/>
      <c r="C30" s="68"/>
      <c r="D30" s="67"/>
      <c r="E30" s="67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</row>
    <row r="31" spans="1:19" s="19" customFormat="1" x14ac:dyDescent="0.2">
      <c r="A31" s="325"/>
      <c r="B31" s="327"/>
      <c r="C31" s="69"/>
      <c r="D31" s="67"/>
      <c r="E31" s="67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</row>
    <row r="32" spans="1:19" s="19" customFormat="1" x14ac:dyDescent="0.2">
      <c r="A32" s="325"/>
      <c r="B32" s="327"/>
      <c r="C32" s="60"/>
      <c r="D32" s="73"/>
      <c r="E32" s="7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</row>
    <row r="33" spans="1:19" s="19" customFormat="1" x14ac:dyDescent="0.2">
      <c r="A33" s="325"/>
      <c r="B33" s="327"/>
      <c r="C33" s="68"/>
      <c r="D33" s="67"/>
      <c r="E33" s="67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</row>
    <row r="34" spans="1:19" s="19" customFormat="1" x14ac:dyDescent="0.2">
      <c r="A34" s="325"/>
      <c r="B34" s="327"/>
      <c r="C34" s="68"/>
      <c r="D34" s="67"/>
      <c r="E34" s="67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</row>
    <row r="35" spans="1:19" s="19" customFormat="1" x14ac:dyDescent="0.2">
      <c r="A35" s="325"/>
      <c r="B35" s="327"/>
      <c r="C35" s="69"/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</row>
    <row r="36" spans="1:19" s="19" customFormat="1" x14ac:dyDescent="0.2">
      <c r="A36" s="325"/>
      <c r="B36" s="327"/>
      <c r="C36" s="60"/>
      <c r="D36" s="73"/>
      <c r="E36" s="73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</row>
    <row r="37" spans="1:19" s="19" customFormat="1" x14ac:dyDescent="0.2">
      <c r="A37" s="325"/>
      <c r="B37" s="327"/>
      <c r="C37" s="60"/>
      <c r="D37" s="73"/>
      <c r="E37" s="73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</row>
    <row r="38" spans="1:19" s="169" customFormat="1" ht="15.75" x14ac:dyDescent="0.25">
      <c r="A38" s="242" t="s">
        <v>2</v>
      </c>
      <c r="B38" s="196" t="s">
        <v>159</v>
      </c>
      <c r="C38" s="197"/>
      <c r="D38" s="194" t="s">
        <v>48</v>
      </c>
      <c r="E38" s="194" t="s">
        <v>198</v>
      </c>
      <c r="F38" s="125" t="s">
        <v>918</v>
      </c>
      <c r="G38" s="121" t="s">
        <v>938</v>
      </c>
      <c r="H38" s="170"/>
      <c r="I38" s="170"/>
      <c r="J38" s="170"/>
      <c r="K38" s="170"/>
      <c r="L38" s="170"/>
      <c r="M38" s="171"/>
      <c r="N38" s="170"/>
      <c r="O38" s="170"/>
      <c r="P38" s="170"/>
      <c r="Q38" s="170"/>
      <c r="R38" s="170"/>
      <c r="S38" s="170"/>
    </row>
    <row r="39" spans="1:19" s="138" customFormat="1" ht="135.6" customHeight="1" x14ac:dyDescent="0.25">
      <c r="A39" s="243"/>
      <c r="B39" s="198"/>
      <c r="C39" s="199"/>
      <c r="D39" s="195"/>
      <c r="E39" s="195"/>
      <c r="F39" s="121" t="s">
        <v>919</v>
      </c>
      <c r="G39" s="121" t="s">
        <v>939</v>
      </c>
      <c r="H39" s="128"/>
      <c r="I39" s="128"/>
      <c r="J39" s="128"/>
      <c r="K39" s="128"/>
      <c r="L39" s="128"/>
      <c r="M39" s="128" t="s">
        <v>202</v>
      </c>
      <c r="N39" s="128" t="s">
        <v>203</v>
      </c>
      <c r="O39" s="128">
        <v>2</v>
      </c>
      <c r="P39" s="128">
        <v>1</v>
      </c>
      <c r="Q39" s="128"/>
      <c r="R39" s="128"/>
      <c r="S39" s="128"/>
    </row>
    <row r="40" spans="1:19" s="138" customFormat="1" ht="38.25" x14ac:dyDescent="0.25">
      <c r="A40" s="243"/>
      <c r="B40" s="119" t="s">
        <v>158</v>
      </c>
      <c r="C40" s="120"/>
      <c r="D40" s="121" t="s">
        <v>35</v>
      </c>
      <c r="E40" s="121" t="s">
        <v>175</v>
      </c>
      <c r="F40" s="121"/>
      <c r="G40" s="121" t="s">
        <v>201</v>
      </c>
      <c r="H40" s="129"/>
      <c r="I40" s="129"/>
      <c r="J40" s="129"/>
      <c r="K40" s="129"/>
      <c r="L40" s="129"/>
      <c r="M40" s="128" t="s">
        <v>204</v>
      </c>
      <c r="N40" s="128" t="s">
        <v>205</v>
      </c>
      <c r="O40" s="129"/>
      <c r="P40" s="129">
        <v>2</v>
      </c>
      <c r="Q40" s="129"/>
      <c r="R40" s="129"/>
      <c r="S40" s="129"/>
    </row>
    <row r="41" spans="1:19" s="138" customFormat="1" ht="38.25" x14ac:dyDescent="0.25">
      <c r="A41" s="243"/>
      <c r="B41" s="231" t="s">
        <v>3</v>
      </c>
      <c r="C41" s="232"/>
      <c r="D41" s="121" t="s">
        <v>35</v>
      </c>
      <c r="E41" s="121" t="s">
        <v>175</v>
      </c>
      <c r="F41" s="121"/>
      <c r="G41" s="121" t="s">
        <v>201</v>
      </c>
      <c r="H41" s="129"/>
      <c r="I41" s="129"/>
      <c r="J41" s="129"/>
      <c r="K41" s="129"/>
      <c r="L41" s="129"/>
      <c r="M41" s="128" t="s">
        <v>206</v>
      </c>
      <c r="N41" s="128" t="s">
        <v>207</v>
      </c>
      <c r="O41" s="129"/>
      <c r="P41" s="129">
        <v>1</v>
      </c>
      <c r="Q41" s="129"/>
      <c r="R41" s="129"/>
      <c r="S41" s="129"/>
    </row>
    <row r="42" spans="1:19" s="138" customFormat="1" ht="38.25" x14ac:dyDescent="0.25">
      <c r="A42" s="243"/>
      <c r="B42" s="231" t="s">
        <v>4</v>
      </c>
      <c r="C42" s="232"/>
      <c r="D42" s="121" t="s">
        <v>35</v>
      </c>
      <c r="E42" s="121" t="s">
        <v>175</v>
      </c>
      <c r="F42" s="121"/>
      <c r="G42" s="121" t="s">
        <v>201</v>
      </c>
      <c r="H42" s="129"/>
      <c r="I42" s="129"/>
      <c r="J42" s="129"/>
      <c r="K42" s="129"/>
      <c r="L42" s="129"/>
      <c r="M42" s="128" t="s">
        <v>209</v>
      </c>
      <c r="N42" s="128" t="s">
        <v>208</v>
      </c>
      <c r="O42" s="129"/>
      <c r="P42" s="129">
        <v>1</v>
      </c>
      <c r="Q42" s="129"/>
      <c r="R42" s="129"/>
      <c r="S42" s="129"/>
    </row>
    <row r="43" spans="1:19" s="138" customFormat="1" ht="38.25" x14ac:dyDescent="0.25">
      <c r="A43" s="243"/>
      <c r="B43" s="231" t="s">
        <v>69</v>
      </c>
      <c r="C43" s="232"/>
      <c r="D43" s="121" t="s">
        <v>35</v>
      </c>
      <c r="E43" s="121" t="s">
        <v>175</v>
      </c>
      <c r="F43" s="121"/>
      <c r="G43" s="121" t="s">
        <v>201</v>
      </c>
      <c r="H43" s="129"/>
      <c r="I43" s="129"/>
      <c r="J43" s="129"/>
      <c r="K43" s="129"/>
      <c r="L43" s="129"/>
      <c r="M43" s="128" t="s">
        <v>210</v>
      </c>
      <c r="N43" s="128" t="s">
        <v>211</v>
      </c>
      <c r="O43" s="129">
        <v>2</v>
      </c>
      <c r="P43" s="129">
        <v>2</v>
      </c>
      <c r="Q43" s="129"/>
      <c r="R43" s="129"/>
      <c r="S43" s="129"/>
    </row>
    <row r="44" spans="1:19" s="138" customFormat="1" ht="38.25" x14ac:dyDescent="0.25">
      <c r="A44" s="243"/>
      <c r="B44" s="231" t="s">
        <v>5</v>
      </c>
      <c r="C44" s="232"/>
      <c r="D44" s="121" t="s">
        <v>35</v>
      </c>
      <c r="E44" s="121" t="s">
        <v>175</v>
      </c>
      <c r="F44" s="125" t="s">
        <v>200</v>
      </c>
      <c r="G44" s="125" t="s">
        <v>199</v>
      </c>
      <c r="H44" s="129"/>
      <c r="I44" s="129"/>
      <c r="J44" s="129"/>
      <c r="K44" s="129"/>
      <c r="L44" s="129"/>
      <c r="M44" s="128" t="s">
        <v>206</v>
      </c>
      <c r="N44" s="128" t="s">
        <v>207</v>
      </c>
      <c r="O44" s="129">
        <v>2</v>
      </c>
      <c r="P44" s="129">
        <v>2</v>
      </c>
      <c r="Q44" s="129"/>
      <c r="R44" s="129"/>
      <c r="S44" s="129"/>
    </row>
    <row r="45" spans="1:19" s="115" customFormat="1" ht="38.25" x14ac:dyDescent="0.25">
      <c r="A45" s="243"/>
      <c r="B45" s="240" t="s">
        <v>161</v>
      </c>
      <c r="C45" s="241"/>
      <c r="D45" s="125" t="s">
        <v>35</v>
      </c>
      <c r="E45" s="125" t="s">
        <v>175</v>
      </c>
      <c r="F45" s="125" t="s">
        <v>200</v>
      </c>
      <c r="G45" s="125" t="s">
        <v>199</v>
      </c>
      <c r="H45" s="149"/>
      <c r="I45" s="125"/>
      <c r="J45" s="149"/>
      <c r="K45" s="149"/>
      <c r="L45" s="149"/>
      <c r="M45" s="128" t="s">
        <v>204</v>
      </c>
      <c r="N45" s="128" t="s">
        <v>205</v>
      </c>
      <c r="O45" s="129"/>
      <c r="P45" s="129">
        <v>2</v>
      </c>
      <c r="Q45" s="149"/>
      <c r="R45" s="149"/>
      <c r="S45" s="149"/>
    </row>
    <row r="46" spans="1:19" s="138" customFormat="1" ht="15" customHeight="1" x14ac:dyDescent="0.25">
      <c r="A46" s="243"/>
      <c r="B46" s="231" t="s">
        <v>76</v>
      </c>
      <c r="C46" s="232"/>
      <c r="D46" s="121" t="s">
        <v>46</v>
      </c>
      <c r="E46" s="121" t="s">
        <v>175</v>
      </c>
      <c r="F46" s="121"/>
      <c r="G46" s="121" t="s">
        <v>201</v>
      </c>
      <c r="H46" s="129"/>
      <c r="I46" s="129"/>
      <c r="J46" s="129"/>
      <c r="K46" s="129"/>
      <c r="L46" s="129"/>
      <c r="M46" s="129"/>
      <c r="N46" s="129" t="str">
        <f>D46</f>
        <v>… óra</v>
      </c>
      <c r="O46" s="129"/>
      <c r="P46" s="129">
        <v>2</v>
      </c>
      <c r="Q46" s="129"/>
      <c r="R46" s="129"/>
      <c r="S46" s="129"/>
    </row>
    <row r="47" spans="1:19" s="138" customFormat="1" ht="51" x14ac:dyDescent="0.25">
      <c r="A47" s="244"/>
      <c r="B47" s="231" t="s">
        <v>10</v>
      </c>
      <c r="C47" s="232"/>
      <c r="D47" s="121" t="s">
        <v>162</v>
      </c>
      <c r="E47" s="121" t="s">
        <v>175</v>
      </c>
      <c r="F47" s="121"/>
      <c r="G47" s="121" t="s">
        <v>201</v>
      </c>
      <c r="H47" s="129"/>
      <c r="I47" s="129"/>
      <c r="J47" s="129"/>
      <c r="K47" s="129"/>
      <c r="L47" s="129"/>
      <c r="M47" s="128" t="s">
        <v>212</v>
      </c>
      <c r="N47" s="128" t="s">
        <v>213</v>
      </c>
      <c r="O47" s="128" t="s">
        <v>214</v>
      </c>
      <c r="P47" s="128" t="s">
        <v>214</v>
      </c>
      <c r="Q47" s="129"/>
      <c r="R47" s="129"/>
      <c r="S47" s="129"/>
    </row>
  </sheetData>
  <mergeCells count="35">
    <mergeCell ref="A38:A47"/>
    <mergeCell ref="B38:C39"/>
    <mergeCell ref="B41:C41"/>
    <mergeCell ref="B42:C42"/>
    <mergeCell ref="B43:C43"/>
    <mergeCell ref="B46:C46"/>
    <mergeCell ref="B47:C47"/>
    <mergeCell ref="B11:C11"/>
    <mergeCell ref="B12:C12"/>
    <mergeCell ref="B13:C13"/>
    <mergeCell ref="B14:C14"/>
    <mergeCell ref="B15:C15"/>
    <mergeCell ref="A2:A7"/>
    <mergeCell ref="B2:C2"/>
    <mergeCell ref="B3:C3"/>
    <mergeCell ref="B4:C4"/>
    <mergeCell ref="B5:C5"/>
    <mergeCell ref="B6:C6"/>
    <mergeCell ref="B7:C7"/>
    <mergeCell ref="D38:D39"/>
    <mergeCell ref="E38:E39"/>
    <mergeCell ref="B44:C44"/>
    <mergeCell ref="B45:C45"/>
    <mergeCell ref="B16:C16"/>
    <mergeCell ref="B17:C17"/>
    <mergeCell ref="B18:C18"/>
    <mergeCell ref="A19:B22"/>
    <mergeCell ref="A23:A37"/>
    <mergeCell ref="B23:B28"/>
    <mergeCell ref="B29:B32"/>
    <mergeCell ref="B33:B37"/>
    <mergeCell ref="A8:A18"/>
    <mergeCell ref="B8:C8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A9CA-BA77-4622-8BAF-CA497DFF23B5}">
  <sheetPr>
    <tabColor rgb="FFFFC000"/>
  </sheetPr>
  <dimension ref="A1:Q57"/>
  <sheetViews>
    <sheetView zoomScale="80" zoomScaleNormal="80" workbookViewId="0">
      <selection activeCell="D66" sqref="D66"/>
    </sheetView>
  </sheetViews>
  <sheetFormatPr defaultColWidth="8.85546875" defaultRowHeight="15" x14ac:dyDescent="0.2"/>
  <cols>
    <col min="1" max="1" width="28.28515625" style="3" customWidth="1"/>
    <col min="2" max="2" width="34" style="3" customWidth="1"/>
    <col min="3" max="3" width="36.85546875" style="3" customWidth="1"/>
    <col min="4" max="5" width="30.7109375" style="3" customWidth="1"/>
    <col min="6" max="17" width="13.5703125" style="3" customWidth="1"/>
    <col min="18" max="16384" width="8.85546875" style="3"/>
  </cols>
  <sheetData>
    <row r="1" spans="1:17" s="2" customFormat="1" ht="73.150000000000006" customHeight="1" x14ac:dyDescent="0.25">
      <c r="A1" s="1" t="s">
        <v>22</v>
      </c>
      <c r="B1" s="1" t="s">
        <v>23</v>
      </c>
      <c r="C1" s="1" t="s">
        <v>11</v>
      </c>
      <c r="D1" s="1" t="s">
        <v>12</v>
      </c>
      <c r="E1" s="1" t="s">
        <v>80</v>
      </c>
      <c r="F1" s="1" t="s">
        <v>13</v>
      </c>
      <c r="G1" s="1" t="s">
        <v>17</v>
      </c>
      <c r="H1" s="1" t="s">
        <v>15</v>
      </c>
      <c r="I1" s="1" t="s">
        <v>16</v>
      </c>
      <c r="J1" s="1" t="s">
        <v>14</v>
      </c>
      <c r="K1" s="1" t="s">
        <v>18</v>
      </c>
      <c r="L1" s="1" t="s">
        <v>19</v>
      </c>
      <c r="M1" s="1" t="s">
        <v>20</v>
      </c>
      <c r="N1" s="1" t="s">
        <v>21</v>
      </c>
      <c r="O1" s="42" t="s">
        <v>113</v>
      </c>
      <c r="P1" s="42" t="s">
        <v>114</v>
      </c>
      <c r="Q1" s="42" t="s">
        <v>115</v>
      </c>
    </row>
    <row r="2" spans="1:17" s="2" customFormat="1" ht="30" customHeight="1" x14ac:dyDescent="0.25">
      <c r="A2" s="316" t="s">
        <v>117</v>
      </c>
      <c r="B2" s="318" t="s">
        <v>56</v>
      </c>
      <c r="C2" s="207"/>
      <c r="D2" s="37" t="s">
        <v>47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</row>
    <row r="3" spans="1:17" s="2" customFormat="1" ht="25.5" x14ac:dyDescent="0.25">
      <c r="A3" s="317"/>
      <c r="B3" s="221" t="s">
        <v>0</v>
      </c>
      <c r="C3" s="222"/>
      <c r="D3" s="9" t="s">
        <v>47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4"/>
    </row>
    <row r="4" spans="1:17" s="2" customFormat="1" ht="25.5" x14ac:dyDescent="0.25">
      <c r="A4" s="317"/>
      <c r="B4" s="223" t="s">
        <v>1</v>
      </c>
      <c r="C4" s="224"/>
      <c r="D4" s="45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4"/>
    </row>
    <row r="5" spans="1:17" s="2" customFormat="1" ht="25.5" x14ac:dyDescent="0.25">
      <c r="A5" s="317"/>
      <c r="B5" s="225" t="s">
        <v>2</v>
      </c>
      <c r="C5" s="226"/>
      <c r="D5" s="47" t="s">
        <v>47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spans="1:17" s="2" customFormat="1" ht="25.5" x14ac:dyDescent="0.25">
      <c r="A6" s="317"/>
      <c r="B6" s="227" t="s">
        <v>27</v>
      </c>
      <c r="C6" s="228"/>
      <c r="D6" s="48" t="s">
        <v>47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</row>
    <row r="7" spans="1:17" s="2" customFormat="1" ht="25.5" x14ac:dyDescent="0.25">
      <c r="A7" s="317"/>
      <c r="B7" s="229" t="s">
        <v>9</v>
      </c>
      <c r="C7" s="230"/>
      <c r="D7" s="49" t="s">
        <v>47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4"/>
    </row>
    <row r="8" spans="1:17" s="2" customFormat="1" x14ac:dyDescent="0.25">
      <c r="A8" s="328" t="s">
        <v>56</v>
      </c>
      <c r="B8" s="352"/>
      <c r="C8" s="353"/>
      <c r="D8" s="55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</row>
    <row r="9" spans="1:17" s="2" customFormat="1" x14ac:dyDescent="0.25">
      <c r="A9" s="329"/>
      <c r="B9" s="352"/>
      <c r="C9" s="353"/>
      <c r="D9" s="55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</row>
    <row r="10" spans="1:17" s="2" customFormat="1" x14ac:dyDescent="0.25">
      <c r="A10" s="329"/>
      <c r="B10" s="352"/>
      <c r="C10" s="353"/>
      <c r="D10" s="55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</row>
    <row r="11" spans="1:17" s="2" customFormat="1" x14ac:dyDescent="0.25">
      <c r="A11" s="329"/>
      <c r="B11" s="352"/>
      <c r="C11" s="353"/>
      <c r="D11" s="55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</row>
    <row r="12" spans="1:17" s="2" customFormat="1" x14ac:dyDescent="0.25">
      <c r="A12" s="329"/>
      <c r="B12" s="352"/>
      <c r="C12" s="353"/>
      <c r="D12" s="55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</row>
    <row r="13" spans="1:17" s="2" customFormat="1" x14ac:dyDescent="0.25">
      <c r="A13" s="329"/>
      <c r="B13" s="352"/>
      <c r="C13" s="353"/>
      <c r="D13" s="5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</row>
    <row r="14" spans="1:17" s="2" customFormat="1" x14ac:dyDescent="0.25">
      <c r="A14" s="329"/>
      <c r="B14" s="352"/>
      <c r="C14" s="353"/>
      <c r="D14" s="5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</row>
    <row r="15" spans="1:17" s="2" customFormat="1" x14ac:dyDescent="0.25">
      <c r="A15" s="329"/>
      <c r="B15" s="352"/>
      <c r="C15" s="353"/>
      <c r="D15" s="5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</row>
    <row r="16" spans="1:17" s="2" customFormat="1" x14ac:dyDescent="0.25">
      <c r="A16" s="329"/>
      <c r="B16" s="352"/>
      <c r="C16" s="353"/>
      <c r="D16" s="5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</row>
    <row r="17" spans="1:17" s="2" customFormat="1" x14ac:dyDescent="0.25">
      <c r="A17" s="329"/>
      <c r="B17" s="352"/>
      <c r="C17" s="353"/>
      <c r="D17" s="5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</row>
    <row r="18" spans="1:17" s="2" customFormat="1" x14ac:dyDescent="0.25">
      <c r="A18" s="330"/>
      <c r="B18" s="352"/>
      <c r="C18" s="353"/>
      <c r="D18" s="5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/>
    </row>
    <row r="19" spans="1:17" s="2" customFormat="1" x14ac:dyDescent="0.25">
      <c r="A19" s="319" t="s">
        <v>0</v>
      </c>
      <c r="B19" s="320"/>
      <c r="C19" s="15"/>
      <c r="D19" s="14"/>
      <c r="E19" s="9"/>
      <c r="F19" s="22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</row>
    <row r="20" spans="1:17" s="25" customFormat="1" x14ac:dyDescent="0.25">
      <c r="A20" s="321"/>
      <c r="B20" s="322"/>
      <c r="C20" s="23"/>
      <c r="D20" s="9"/>
      <c r="E20" s="24"/>
      <c r="F20" s="50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s="25" customFormat="1" x14ac:dyDescent="0.25">
      <c r="A21" s="321"/>
      <c r="B21" s="322"/>
      <c r="C21" s="23"/>
      <c r="D21" s="9"/>
      <c r="E21" s="24"/>
      <c r="F21" s="50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s="25" customFormat="1" x14ac:dyDescent="0.25">
      <c r="A22" s="323"/>
      <c r="B22" s="324"/>
      <c r="C22" s="23"/>
      <c r="D22" s="9"/>
      <c r="E22" s="24"/>
      <c r="F22" s="50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spans="1:17" s="26" customFormat="1" x14ac:dyDescent="0.2">
      <c r="A23" s="325" t="s">
        <v>1</v>
      </c>
      <c r="B23" s="326"/>
      <c r="C23" s="60"/>
      <c r="D23" s="66"/>
      <c r="E23" s="67"/>
      <c r="F23" s="68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</row>
    <row r="24" spans="1:17" s="26" customFormat="1" x14ac:dyDescent="0.2">
      <c r="A24" s="325"/>
      <c r="B24" s="326"/>
      <c r="C24" s="69"/>
      <c r="D24" s="67"/>
      <c r="E24" s="67"/>
      <c r="F24" s="6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</row>
    <row r="25" spans="1:17" s="26" customFormat="1" x14ac:dyDescent="0.2">
      <c r="A25" s="325"/>
      <c r="B25" s="326"/>
      <c r="C25" s="69"/>
      <c r="D25" s="67"/>
      <c r="E25" s="67"/>
      <c r="F25" s="6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</row>
    <row r="26" spans="1:17" s="26" customFormat="1" x14ac:dyDescent="0.2">
      <c r="A26" s="325"/>
      <c r="B26" s="326"/>
      <c r="C26" s="69"/>
      <c r="D26" s="67"/>
      <c r="E26" s="67"/>
      <c r="F26" s="6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s="26" customFormat="1" x14ac:dyDescent="0.2">
      <c r="A27" s="325"/>
      <c r="B27" s="326"/>
      <c r="C27" s="70"/>
      <c r="D27" s="67"/>
      <c r="E27" s="67"/>
      <c r="F27" s="6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s="26" customFormat="1" x14ac:dyDescent="0.2">
      <c r="A28" s="325"/>
      <c r="B28" s="326"/>
      <c r="C28" s="60"/>
      <c r="D28" s="67"/>
      <c r="E28" s="67"/>
      <c r="F28" s="6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</row>
    <row r="29" spans="1:17" s="19" customFormat="1" x14ac:dyDescent="0.2">
      <c r="A29" s="325"/>
      <c r="B29" s="327"/>
      <c r="C29" s="68"/>
      <c r="D29" s="67"/>
      <c r="E29" s="67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</row>
    <row r="30" spans="1:17" s="19" customFormat="1" x14ac:dyDescent="0.2">
      <c r="A30" s="325"/>
      <c r="B30" s="327"/>
      <c r="C30" s="68"/>
      <c r="D30" s="67"/>
      <c r="E30" s="67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</row>
    <row r="31" spans="1:17" s="19" customFormat="1" x14ac:dyDescent="0.2">
      <c r="A31" s="325"/>
      <c r="B31" s="327"/>
      <c r="C31" s="69"/>
      <c r="D31" s="67"/>
      <c r="E31" s="67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</row>
    <row r="32" spans="1:17" s="19" customFormat="1" x14ac:dyDescent="0.2">
      <c r="A32" s="325"/>
      <c r="B32" s="327"/>
      <c r="C32" s="60"/>
      <c r="D32" s="73"/>
      <c r="E32" s="7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</row>
    <row r="33" spans="1:17" s="19" customFormat="1" x14ac:dyDescent="0.2">
      <c r="A33" s="325"/>
      <c r="B33" s="327"/>
      <c r="C33" s="68"/>
      <c r="D33" s="67"/>
      <c r="E33" s="67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</row>
    <row r="34" spans="1:17" s="19" customFormat="1" x14ac:dyDescent="0.2">
      <c r="A34" s="325"/>
      <c r="B34" s="327"/>
      <c r="C34" s="68"/>
      <c r="D34" s="67"/>
      <c r="E34" s="67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</row>
    <row r="35" spans="1:17" s="19" customFormat="1" x14ac:dyDescent="0.2">
      <c r="A35" s="325"/>
      <c r="B35" s="327"/>
      <c r="C35" s="69"/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</row>
    <row r="36" spans="1:17" s="19" customFormat="1" x14ac:dyDescent="0.2">
      <c r="A36" s="325"/>
      <c r="B36" s="327"/>
      <c r="C36" s="60"/>
      <c r="D36" s="73"/>
      <c r="E36" s="73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</row>
    <row r="37" spans="1:17" s="19" customFormat="1" x14ac:dyDescent="0.2">
      <c r="A37" s="325"/>
      <c r="B37" s="327"/>
      <c r="C37" s="60"/>
      <c r="D37" s="73"/>
      <c r="E37" s="73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</row>
    <row r="38" spans="1:17" s="19" customFormat="1" x14ac:dyDescent="0.2">
      <c r="A38" s="351" t="s">
        <v>2</v>
      </c>
      <c r="B38" s="335" t="s">
        <v>140</v>
      </c>
      <c r="C38" s="336"/>
      <c r="D38" s="20" t="s">
        <v>132</v>
      </c>
      <c r="E38" s="20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s="19" customFormat="1" x14ac:dyDescent="0.2">
      <c r="A39" s="351"/>
      <c r="B39" s="335"/>
      <c r="C39" s="336"/>
      <c r="D39" s="20"/>
      <c r="E39" s="20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s="19" customFormat="1" x14ac:dyDescent="0.2">
      <c r="A40" s="351"/>
      <c r="B40" s="51"/>
      <c r="C40" s="52"/>
      <c r="D40" s="20"/>
      <c r="E40" s="20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</row>
    <row r="41" spans="1:17" s="19" customFormat="1" x14ac:dyDescent="0.2">
      <c r="A41" s="351"/>
      <c r="B41" s="53"/>
      <c r="C41" s="54"/>
      <c r="D41" s="20"/>
      <c r="E41" s="20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</row>
    <row r="42" spans="1:17" s="19" customFormat="1" x14ac:dyDescent="0.2">
      <c r="A42" s="351"/>
      <c r="B42" s="53"/>
      <c r="C42" s="54"/>
      <c r="D42" s="20"/>
      <c r="E42" s="20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spans="1:17" x14ac:dyDescent="0.2">
      <c r="A43" s="351"/>
      <c r="B43" s="333"/>
      <c r="C43" s="334"/>
      <c r="D43" s="5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2">
      <c r="A44" s="351"/>
      <c r="B44" s="16"/>
      <c r="C44" s="17"/>
      <c r="D44" s="5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2">
      <c r="A45" s="351"/>
      <c r="B45" s="16"/>
      <c r="C45" s="17"/>
      <c r="D45" s="5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s="19" customFormat="1" x14ac:dyDescent="0.2">
      <c r="A46" s="351"/>
      <c r="B46" s="335"/>
      <c r="C46" s="336"/>
      <c r="D46" s="20"/>
      <c r="E46" s="20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spans="1:17" s="19" customFormat="1" x14ac:dyDescent="0.2">
      <c r="A47" s="351"/>
      <c r="B47" s="331"/>
      <c r="C47" s="332"/>
      <c r="D47" s="20"/>
      <c r="E47" s="20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17" s="19" customFormat="1" x14ac:dyDescent="0.2">
      <c r="A48" s="351"/>
      <c r="B48" s="331"/>
      <c r="C48" s="332"/>
      <c r="D48" s="20"/>
      <c r="E48" s="20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s="19" customFormat="1" x14ac:dyDescent="0.2">
      <c r="A49" s="346" t="s">
        <v>27</v>
      </c>
      <c r="B49" s="347"/>
      <c r="C49" s="348"/>
      <c r="D49" s="30"/>
      <c r="E49" s="30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s="19" customFormat="1" ht="55.9" customHeight="1" x14ac:dyDescent="0.2">
      <c r="A50" s="346"/>
      <c r="B50" s="349" t="s">
        <v>6</v>
      </c>
      <c r="C50" s="350"/>
      <c r="D50" s="6" t="s">
        <v>73</v>
      </c>
      <c r="E50" s="30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s="19" customFormat="1" ht="25.9" customHeight="1" x14ac:dyDescent="0.2">
      <c r="A51" s="346"/>
      <c r="B51" s="349" t="s">
        <v>74</v>
      </c>
      <c r="C51" s="350"/>
      <c r="D51" s="8" t="s">
        <v>46</v>
      </c>
      <c r="E51" s="31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s="19" customFormat="1" ht="25.9" customHeight="1" x14ac:dyDescent="0.2">
      <c r="A52" s="346"/>
      <c r="B52" s="349" t="s">
        <v>7</v>
      </c>
      <c r="C52" s="350"/>
      <c r="D52" s="7" t="s">
        <v>48</v>
      </c>
      <c r="E52" s="32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s="19" customFormat="1" ht="25.9" customHeight="1" x14ac:dyDescent="0.2">
      <c r="A53" s="346"/>
      <c r="B53" s="349" t="s">
        <v>8</v>
      </c>
      <c r="C53" s="350"/>
      <c r="D53" s="7" t="s">
        <v>48</v>
      </c>
      <c r="E53" s="32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s="19" customFormat="1" ht="25.9" customHeight="1" x14ac:dyDescent="0.2">
      <c r="A54" s="346"/>
      <c r="B54" s="349" t="s">
        <v>42</v>
      </c>
      <c r="C54" s="350"/>
      <c r="D54" s="7" t="s">
        <v>100</v>
      </c>
      <c r="E54" s="32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s="19" customFormat="1" ht="25.9" customHeight="1" x14ac:dyDescent="0.2">
      <c r="A55" s="346"/>
      <c r="B55" s="28"/>
      <c r="C55" s="29"/>
      <c r="D55" s="7"/>
      <c r="E55" s="32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 s="21" customFormat="1" ht="25.9" customHeight="1" x14ac:dyDescent="0.2">
      <c r="A56" s="341" t="s">
        <v>9</v>
      </c>
      <c r="B56" s="38" t="s">
        <v>110</v>
      </c>
      <c r="C56" s="39"/>
      <c r="D56" s="40"/>
      <c r="E56" s="40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1:17" s="21" customFormat="1" ht="25.9" customHeight="1" x14ac:dyDescent="0.2">
      <c r="A57" s="343"/>
      <c r="B57" s="38" t="s">
        <v>111</v>
      </c>
      <c r="C57" s="39"/>
      <c r="D57" s="40"/>
      <c r="E57" s="40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</row>
  </sheetData>
  <mergeCells count="39">
    <mergeCell ref="B16:C16"/>
    <mergeCell ref="A2:A7"/>
    <mergeCell ref="B2:C2"/>
    <mergeCell ref="B3:C3"/>
    <mergeCell ref="B4:C4"/>
    <mergeCell ref="B5:C5"/>
    <mergeCell ref="B6:C6"/>
    <mergeCell ref="B7:C7"/>
    <mergeCell ref="B17:C17"/>
    <mergeCell ref="B18:C18"/>
    <mergeCell ref="A19:B22"/>
    <mergeCell ref="A23:A37"/>
    <mergeCell ref="B23:B28"/>
    <mergeCell ref="B29:B32"/>
    <mergeCell ref="B33:B37"/>
    <mergeCell ref="A8:A18"/>
    <mergeCell ref="B8:C8"/>
    <mergeCell ref="B9:C9"/>
    <mergeCell ref="B10:C10"/>
    <mergeCell ref="B11:C11"/>
    <mergeCell ref="B12:C12"/>
    <mergeCell ref="B13:C13"/>
    <mergeCell ref="B14:C14"/>
    <mergeCell ref="B15:C15"/>
    <mergeCell ref="A38:A48"/>
    <mergeCell ref="B38:C38"/>
    <mergeCell ref="B39:C39"/>
    <mergeCell ref="B43:C43"/>
    <mergeCell ref="B46:C46"/>
    <mergeCell ref="B47:C47"/>
    <mergeCell ref="B48:C48"/>
    <mergeCell ref="A56:A57"/>
    <mergeCell ref="A49:A55"/>
    <mergeCell ref="B49:C49"/>
    <mergeCell ref="B50:C50"/>
    <mergeCell ref="B51:C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ACB7-FB7B-4CCD-B9F1-E1A42E1E3D76}">
  <sheetPr>
    <tabColor rgb="FFFFC000"/>
  </sheetPr>
  <dimension ref="A1:Q65"/>
  <sheetViews>
    <sheetView zoomScale="80" zoomScaleNormal="80" workbookViewId="0">
      <selection activeCell="F11" sqref="F11"/>
    </sheetView>
  </sheetViews>
  <sheetFormatPr defaultColWidth="8.85546875" defaultRowHeight="15" x14ac:dyDescent="0.2"/>
  <cols>
    <col min="1" max="1" width="28.28515625" style="3" customWidth="1"/>
    <col min="2" max="2" width="34" style="3" customWidth="1"/>
    <col min="3" max="3" width="36.85546875" style="3" customWidth="1"/>
    <col min="4" max="5" width="30.7109375" style="3" customWidth="1"/>
    <col min="6" max="17" width="13.5703125" style="3" customWidth="1"/>
    <col min="18" max="16384" width="8.85546875" style="3"/>
  </cols>
  <sheetData>
    <row r="1" spans="1:17" s="2" customFormat="1" ht="73.150000000000006" customHeight="1" x14ac:dyDescent="0.25">
      <c r="A1" s="1" t="s">
        <v>22</v>
      </c>
      <c r="B1" s="1" t="s">
        <v>23</v>
      </c>
      <c r="C1" s="1" t="s">
        <v>11</v>
      </c>
      <c r="D1" s="1" t="s">
        <v>12</v>
      </c>
      <c r="E1" s="1" t="s">
        <v>80</v>
      </c>
      <c r="F1" s="1" t="s">
        <v>13</v>
      </c>
      <c r="G1" s="1" t="s">
        <v>17</v>
      </c>
      <c r="H1" s="1" t="s">
        <v>15</v>
      </c>
      <c r="I1" s="1" t="s">
        <v>16</v>
      </c>
      <c r="J1" s="1" t="s">
        <v>14</v>
      </c>
      <c r="K1" s="1" t="s">
        <v>18</v>
      </c>
      <c r="L1" s="1" t="s">
        <v>19</v>
      </c>
      <c r="M1" s="1" t="s">
        <v>20</v>
      </c>
      <c r="N1" s="1" t="s">
        <v>21</v>
      </c>
      <c r="O1" s="42" t="s">
        <v>113</v>
      </c>
      <c r="P1" s="42" t="s">
        <v>114</v>
      </c>
      <c r="Q1" s="42" t="s">
        <v>115</v>
      </c>
    </row>
    <row r="2" spans="1:17" s="2" customFormat="1" ht="30" customHeight="1" x14ac:dyDescent="0.25">
      <c r="A2" s="365" t="s">
        <v>117</v>
      </c>
      <c r="B2" s="318" t="s">
        <v>56</v>
      </c>
      <c r="C2" s="207"/>
      <c r="D2" s="37" t="s">
        <v>47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</row>
    <row r="3" spans="1:17" s="2" customFormat="1" ht="25.5" x14ac:dyDescent="0.25">
      <c r="A3" s="220"/>
      <c r="B3" s="221" t="s">
        <v>0</v>
      </c>
      <c r="C3" s="222"/>
      <c r="D3" s="9" t="s">
        <v>47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4"/>
    </row>
    <row r="4" spans="1:17" s="2" customFormat="1" ht="25.5" x14ac:dyDescent="0.25">
      <c r="A4" s="220"/>
      <c r="B4" s="223" t="s">
        <v>1</v>
      </c>
      <c r="C4" s="224"/>
      <c r="D4" s="45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4"/>
    </row>
    <row r="5" spans="1:17" s="2" customFormat="1" ht="25.5" x14ac:dyDescent="0.25">
      <c r="A5" s="220"/>
      <c r="B5" s="225" t="s">
        <v>2</v>
      </c>
      <c r="C5" s="226"/>
      <c r="D5" s="47" t="s">
        <v>47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spans="1:17" s="2" customFormat="1" ht="25.5" x14ac:dyDescent="0.25">
      <c r="A6" s="220"/>
      <c r="B6" s="227" t="s">
        <v>27</v>
      </c>
      <c r="C6" s="228"/>
      <c r="D6" s="48" t="s">
        <v>47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</row>
    <row r="7" spans="1:17" s="2" customFormat="1" ht="25.5" x14ac:dyDescent="0.25">
      <c r="A7" s="220"/>
      <c r="B7" s="229" t="s">
        <v>9</v>
      </c>
      <c r="C7" s="230"/>
      <c r="D7" s="49" t="s">
        <v>47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4"/>
    </row>
    <row r="8" spans="1:17" s="2" customFormat="1" ht="25.5" x14ac:dyDescent="0.25">
      <c r="A8" s="362" t="s">
        <v>56</v>
      </c>
      <c r="B8" s="206" t="s">
        <v>58</v>
      </c>
      <c r="C8" s="207"/>
      <c r="D8" s="37" t="s">
        <v>47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</row>
    <row r="9" spans="1:17" s="2" customFormat="1" ht="25.5" x14ac:dyDescent="0.25">
      <c r="A9" s="363"/>
      <c r="B9" s="206" t="s">
        <v>59</v>
      </c>
      <c r="C9" s="207"/>
      <c r="D9" s="37" t="s">
        <v>47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</row>
    <row r="10" spans="1:17" s="2" customFormat="1" ht="25.5" x14ac:dyDescent="0.25">
      <c r="A10" s="363"/>
      <c r="B10" s="206" t="s">
        <v>60</v>
      </c>
      <c r="C10" s="207"/>
      <c r="D10" s="37" t="s">
        <v>47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</row>
    <row r="11" spans="1:17" s="2" customFormat="1" ht="25.5" x14ac:dyDescent="0.25">
      <c r="A11" s="363"/>
      <c r="B11" s="206" t="s">
        <v>61</v>
      </c>
      <c r="C11" s="207"/>
      <c r="D11" s="37" t="s">
        <v>47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</row>
    <row r="12" spans="1:17" s="2" customFormat="1" ht="25.5" x14ac:dyDescent="0.25">
      <c r="A12" s="363"/>
      <c r="B12" s="206" t="s">
        <v>62</v>
      </c>
      <c r="C12" s="207"/>
      <c r="D12" s="37" t="s">
        <v>47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</row>
    <row r="13" spans="1:17" s="2" customFormat="1" ht="25.5" x14ac:dyDescent="0.25">
      <c r="A13" s="363"/>
      <c r="B13" s="206" t="s">
        <v>63</v>
      </c>
      <c r="C13" s="207"/>
      <c r="D13" s="37" t="s">
        <v>47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</row>
    <row r="14" spans="1:17" s="2" customFormat="1" ht="25.5" x14ac:dyDescent="0.25">
      <c r="A14" s="363"/>
      <c r="B14" s="206" t="s">
        <v>64</v>
      </c>
      <c r="C14" s="207"/>
      <c r="D14" s="37" t="s">
        <v>47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</row>
    <row r="15" spans="1:17" s="2" customFormat="1" ht="25.5" x14ac:dyDescent="0.25">
      <c r="A15" s="363"/>
      <c r="B15" s="206" t="s">
        <v>65</v>
      </c>
      <c r="C15" s="207"/>
      <c r="D15" s="37" t="s">
        <v>47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</row>
    <row r="16" spans="1:17" s="2" customFormat="1" ht="25.5" x14ac:dyDescent="0.25">
      <c r="A16" s="363"/>
      <c r="B16" s="206" t="s">
        <v>66</v>
      </c>
      <c r="C16" s="207"/>
      <c r="D16" s="37" t="s">
        <v>47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</row>
    <row r="17" spans="1:17" s="2" customFormat="1" ht="25.5" x14ac:dyDescent="0.25">
      <c r="A17" s="363"/>
      <c r="B17" s="206" t="s">
        <v>67</v>
      </c>
      <c r="C17" s="207"/>
      <c r="D17" s="37" t="s">
        <v>47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</row>
    <row r="18" spans="1:17" s="2" customFormat="1" ht="30" customHeight="1" x14ac:dyDescent="0.25">
      <c r="A18" s="364"/>
      <c r="B18" s="206" t="s">
        <v>68</v>
      </c>
      <c r="C18" s="207"/>
      <c r="D18" s="37" t="s">
        <v>47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/>
    </row>
    <row r="19" spans="1:17" s="2" customFormat="1" ht="30" customHeight="1" x14ac:dyDescent="0.25">
      <c r="A19" s="319" t="s">
        <v>0</v>
      </c>
      <c r="B19" s="320"/>
      <c r="C19" s="15" t="s">
        <v>49</v>
      </c>
      <c r="D19" s="14" t="s">
        <v>48</v>
      </c>
      <c r="E19" s="9" t="s">
        <v>77</v>
      </c>
      <c r="F19" s="22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</row>
    <row r="20" spans="1:17" s="25" customFormat="1" ht="63.75" x14ac:dyDescent="0.25">
      <c r="A20" s="321"/>
      <c r="B20" s="322"/>
      <c r="C20" s="23" t="s">
        <v>81</v>
      </c>
      <c r="D20" s="9" t="s">
        <v>82</v>
      </c>
      <c r="E20" s="24"/>
      <c r="F20" s="50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s="25" customFormat="1" ht="51" x14ac:dyDescent="0.25">
      <c r="A21" s="321"/>
      <c r="B21" s="322"/>
      <c r="C21" s="23" t="s">
        <v>120</v>
      </c>
      <c r="D21" s="9" t="s">
        <v>83</v>
      </c>
      <c r="E21" s="24"/>
      <c r="F21" s="50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s="25" customFormat="1" ht="51" x14ac:dyDescent="0.25">
      <c r="A22" s="323"/>
      <c r="B22" s="324"/>
      <c r="C22" s="23" t="s">
        <v>84</v>
      </c>
      <c r="D22" s="9" t="s">
        <v>85</v>
      </c>
      <c r="E22" s="24"/>
      <c r="F22" s="50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spans="1:17" s="26" customFormat="1" ht="15" customHeight="1" x14ac:dyDescent="0.2">
      <c r="A23" s="357" t="s">
        <v>1</v>
      </c>
      <c r="B23" s="360" t="s">
        <v>130</v>
      </c>
      <c r="C23" s="60" t="s">
        <v>121</v>
      </c>
      <c r="D23" s="66" t="s">
        <v>35</v>
      </c>
      <c r="E23" s="67"/>
      <c r="F23" s="68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</row>
    <row r="24" spans="1:17" s="26" customFormat="1" ht="38.25" x14ac:dyDescent="0.2">
      <c r="A24" s="358"/>
      <c r="B24" s="360"/>
      <c r="C24" s="69" t="s">
        <v>86</v>
      </c>
      <c r="D24" s="67" t="s">
        <v>87</v>
      </c>
      <c r="E24" s="67"/>
      <c r="F24" s="6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</row>
    <row r="25" spans="1:17" s="26" customFormat="1" ht="100.15" customHeight="1" x14ac:dyDescent="0.2">
      <c r="A25" s="358"/>
      <c r="B25" s="360"/>
      <c r="C25" s="69" t="s">
        <v>88</v>
      </c>
      <c r="D25" s="67" t="s">
        <v>89</v>
      </c>
      <c r="E25" s="67"/>
      <c r="F25" s="6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</row>
    <row r="26" spans="1:17" s="26" customFormat="1" ht="84.6" customHeight="1" x14ac:dyDescent="0.2">
      <c r="A26" s="358"/>
      <c r="B26" s="360"/>
      <c r="C26" s="69" t="s">
        <v>90</v>
      </c>
      <c r="D26" s="67" t="s">
        <v>91</v>
      </c>
      <c r="E26" s="67"/>
      <c r="F26" s="6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s="26" customFormat="1" ht="51" x14ac:dyDescent="0.2">
      <c r="A27" s="358"/>
      <c r="B27" s="360"/>
      <c r="C27" s="70" t="s">
        <v>125</v>
      </c>
      <c r="D27" s="67" t="s">
        <v>92</v>
      </c>
      <c r="E27" s="67" t="s">
        <v>118</v>
      </c>
      <c r="F27" s="6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s="26" customFormat="1" ht="25.5" x14ac:dyDescent="0.2">
      <c r="A28" s="358"/>
      <c r="B28" s="360"/>
      <c r="C28" s="71" t="s">
        <v>129</v>
      </c>
      <c r="D28" s="72" t="s">
        <v>131</v>
      </c>
      <c r="E28" s="67"/>
      <c r="F28" s="6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</row>
    <row r="29" spans="1:17" s="26" customFormat="1" ht="51" x14ac:dyDescent="0.2">
      <c r="A29" s="358"/>
      <c r="B29" s="360"/>
      <c r="C29" s="60" t="s">
        <v>128</v>
      </c>
      <c r="D29" s="67" t="s">
        <v>138</v>
      </c>
      <c r="E29" s="67"/>
      <c r="F29" s="68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</row>
    <row r="30" spans="1:17" s="19" customFormat="1" ht="15" customHeight="1" x14ac:dyDescent="0.2">
      <c r="A30" s="358"/>
      <c r="B30" s="255" t="s">
        <v>126</v>
      </c>
      <c r="C30" s="68" t="s">
        <v>93</v>
      </c>
      <c r="D30" s="67" t="s">
        <v>70</v>
      </c>
      <c r="E30" s="67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</row>
    <row r="31" spans="1:17" s="19" customFormat="1" ht="15" customHeight="1" x14ac:dyDescent="0.2">
      <c r="A31" s="358"/>
      <c r="B31" s="255"/>
      <c r="C31" s="68" t="s">
        <v>94</v>
      </c>
      <c r="D31" s="67" t="s">
        <v>71</v>
      </c>
      <c r="E31" s="67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</row>
    <row r="32" spans="1:17" s="19" customFormat="1" ht="84.6" customHeight="1" x14ac:dyDescent="0.2">
      <c r="A32" s="358"/>
      <c r="B32" s="255"/>
      <c r="C32" s="69" t="s">
        <v>90</v>
      </c>
      <c r="D32" s="67" t="s">
        <v>91</v>
      </c>
      <c r="E32" s="67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</row>
    <row r="33" spans="1:17" s="19" customFormat="1" ht="51" x14ac:dyDescent="0.2">
      <c r="A33" s="358"/>
      <c r="B33" s="255"/>
      <c r="C33" s="60" t="s">
        <v>24</v>
      </c>
      <c r="D33" s="73" t="s">
        <v>25</v>
      </c>
      <c r="E33" s="7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</row>
    <row r="34" spans="1:17" s="19" customFormat="1" ht="15" customHeight="1" x14ac:dyDescent="0.2">
      <c r="A34" s="358"/>
      <c r="B34" s="255" t="s">
        <v>127</v>
      </c>
      <c r="C34" s="68" t="s">
        <v>93</v>
      </c>
      <c r="D34" s="67" t="s">
        <v>70</v>
      </c>
      <c r="E34" s="67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</row>
    <row r="35" spans="1:17" s="19" customFormat="1" ht="15" customHeight="1" x14ac:dyDescent="0.2">
      <c r="A35" s="358"/>
      <c r="B35" s="255"/>
      <c r="C35" s="68" t="s">
        <v>94</v>
      </c>
      <c r="D35" s="67" t="s">
        <v>71</v>
      </c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</row>
    <row r="36" spans="1:17" s="19" customFormat="1" ht="87.6" customHeight="1" x14ac:dyDescent="0.2">
      <c r="A36" s="358"/>
      <c r="B36" s="255"/>
      <c r="C36" s="69" t="s">
        <v>90</v>
      </c>
      <c r="D36" s="67" t="s">
        <v>91</v>
      </c>
      <c r="E36" s="67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</row>
    <row r="37" spans="1:17" s="19" customFormat="1" ht="51" x14ac:dyDescent="0.2">
      <c r="A37" s="358"/>
      <c r="B37" s="255"/>
      <c r="C37" s="60" t="s">
        <v>24</v>
      </c>
      <c r="D37" s="73" t="s">
        <v>25</v>
      </c>
      <c r="E37" s="73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</row>
    <row r="38" spans="1:17" s="19" customFormat="1" ht="25.5" x14ac:dyDescent="0.2">
      <c r="A38" s="358"/>
      <c r="B38" s="255"/>
      <c r="C38" s="60" t="s">
        <v>95</v>
      </c>
      <c r="D38" s="73" t="s">
        <v>96</v>
      </c>
      <c r="E38" s="7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</row>
    <row r="39" spans="1:17" s="59" customFormat="1" ht="15.75" x14ac:dyDescent="0.25">
      <c r="A39" s="358"/>
      <c r="B39" s="361" t="s">
        <v>137</v>
      </c>
      <c r="C39" s="74" t="s">
        <v>134</v>
      </c>
      <c r="D39" s="72" t="s">
        <v>35</v>
      </c>
      <c r="E39" s="72"/>
      <c r="F39" s="75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</row>
    <row r="40" spans="1:17" s="59" customFormat="1" ht="15.75" x14ac:dyDescent="0.25">
      <c r="A40" s="358"/>
      <c r="B40" s="361"/>
      <c r="C40" s="74" t="s">
        <v>135</v>
      </c>
      <c r="D40" s="72" t="s">
        <v>46</v>
      </c>
      <c r="E40" s="72"/>
      <c r="F40" s="75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</row>
    <row r="41" spans="1:17" s="59" customFormat="1" ht="25.5" x14ac:dyDescent="0.25">
      <c r="A41" s="358"/>
      <c r="B41" s="361"/>
      <c r="C41" s="75" t="s">
        <v>136</v>
      </c>
      <c r="D41" s="72" t="s">
        <v>29</v>
      </c>
      <c r="E41" s="76"/>
      <c r="F41" s="75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</row>
    <row r="42" spans="1:17" s="59" customFormat="1" ht="15.75" x14ac:dyDescent="0.25">
      <c r="A42" s="358"/>
      <c r="B42" s="354" t="s">
        <v>142</v>
      </c>
      <c r="C42" s="74" t="s">
        <v>121</v>
      </c>
      <c r="D42" s="72" t="s">
        <v>145</v>
      </c>
      <c r="E42" s="72"/>
      <c r="F42" s="75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</row>
    <row r="43" spans="1:17" s="59" customFormat="1" ht="15.75" x14ac:dyDescent="0.25">
      <c r="A43" s="358"/>
      <c r="B43" s="355"/>
      <c r="C43" s="74" t="s">
        <v>144</v>
      </c>
      <c r="D43" s="72" t="s">
        <v>46</v>
      </c>
      <c r="E43" s="72"/>
      <c r="F43" s="75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</row>
    <row r="44" spans="1:17" s="59" customFormat="1" ht="25.5" x14ac:dyDescent="0.25">
      <c r="A44" s="359"/>
      <c r="B44" s="356"/>
      <c r="C44" s="75" t="s">
        <v>143</v>
      </c>
      <c r="D44" s="72" t="s">
        <v>29</v>
      </c>
      <c r="E44" s="76"/>
      <c r="F44" s="75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</row>
    <row r="45" spans="1:17" s="19" customFormat="1" x14ac:dyDescent="0.2">
      <c r="A45" s="351" t="s">
        <v>2</v>
      </c>
      <c r="B45" s="335" t="s">
        <v>78</v>
      </c>
      <c r="C45" s="336"/>
      <c r="D45" s="20" t="s">
        <v>35</v>
      </c>
      <c r="E45" s="20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spans="1:17" s="19" customFormat="1" x14ac:dyDescent="0.2">
      <c r="A46" s="351"/>
      <c r="B46" s="331" t="s">
        <v>3</v>
      </c>
      <c r="C46" s="332"/>
      <c r="D46" s="20" t="s">
        <v>35</v>
      </c>
      <c r="E46" s="20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spans="1:17" s="19" customFormat="1" x14ac:dyDescent="0.2">
      <c r="A47" s="351"/>
      <c r="B47" s="331" t="s">
        <v>4</v>
      </c>
      <c r="C47" s="332"/>
      <c r="D47" s="20" t="s">
        <v>35</v>
      </c>
      <c r="E47" s="20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17" s="19" customFormat="1" x14ac:dyDescent="0.2">
      <c r="A48" s="351"/>
      <c r="B48" s="331" t="s">
        <v>69</v>
      </c>
      <c r="C48" s="332"/>
      <c r="D48" s="20" t="s">
        <v>35</v>
      </c>
      <c r="E48" s="20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s="19" customFormat="1" x14ac:dyDescent="0.2">
      <c r="A49" s="351"/>
      <c r="B49" s="331" t="s">
        <v>5</v>
      </c>
      <c r="C49" s="332"/>
      <c r="D49" s="20" t="s">
        <v>35</v>
      </c>
      <c r="E49" s="20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</row>
    <row r="50" spans="1:17" x14ac:dyDescent="0.2">
      <c r="A50" s="351"/>
      <c r="B50" s="333" t="s">
        <v>38</v>
      </c>
      <c r="C50" s="334"/>
      <c r="D50" s="5" t="s">
        <v>35</v>
      </c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2">
      <c r="A51" s="351"/>
      <c r="B51" s="16" t="s">
        <v>39</v>
      </c>
      <c r="C51" s="17"/>
      <c r="D51" s="5" t="s">
        <v>35</v>
      </c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2">
      <c r="A52" s="351"/>
      <c r="B52" s="16" t="s">
        <v>40</v>
      </c>
      <c r="C52" s="17"/>
      <c r="D52" s="5" t="s">
        <v>35</v>
      </c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s="19" customFormat="1" x14ac:dyDescent="0.2">
      <c r="A53" s="351"/>
      <c r="B53" s="335" t="s">
        <v>26</v>
      </c>
      <c r="C53" s="336"/>
      <c r="D53" s="20" t="s">
        <v>35</v>
      </c>
      <c r="E53" s="20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</row>
    <row r="54" spans="1:17" s="19" customFormat="1" x14ac:dyDescent="0.2">
      <c r="A54" s="351"/>
      <c r="B54" s="331" t="s">
        <v>76</v>
      </c>
      <c r="C54" s="332"/>
      <c r="D54" s="20" t="s">
        <v>46</v>
      </c>
      <c r="E54" s="20" t="s">
        <v>75</v>
      </c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</row>
    <row r="55" spans="1:17" s="19" customFormat="1" x14ac:dyDescent="0.2">
      <c r="A55" s="351"/>
      <c r="B55" s="331" t="s">
        <v>10</v>
      </c>
      <c r="C55" s="332"/>
      <c r="D55" s="20" t="s">
        <v>46</v>
      </c>
      <c r="E55" s="20" t="s">
        <v>75</v>
      </c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s="19" customFormat="1" ht="57.6" customHeight="1" x14ac:dyDescent="0.2">
      <c r="A56" s="346" t="s">
        <v>27</v>
      </c>
      <c r="B56" s="347" t="s">
        <v>98</v>
      </c>
      <c r="C56" s="348"/>
      <c r="D56" s="30" t="s">
        <v>119</v>
      </c>
      <c r="E56" s="30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s="19" customFormat="1" ht="55.9" customHeight="1" x14ac:dyDescent="0.2">
      <c r="A57" s="346"/>
      <c r="B57" s="349" t="s">
        <v>6</v>
      </c>
      <c r="C57" s="350"/>
      <c r="D57" s="6" t="s">
        <v>73</v>
      </c>
      <c r="E57" s="30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 s="19" customFormat="1" ht="25.9" customHeight="1" x14ac:dyDescent="0.2">
      <c r="A58" s="346"/>
      <c r="B58" s="349" t="s">
        <v>74</v>
      </c>
      <c r="C58" s="350"/>
      <c r="D58" s="8" t="s">
        <v>46</v>
      </c>
      <c r="E58" s="31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s="19" customFormat="1" ht="25.9" customHeight="1" x14ac:dyDescent="0.2">
      <c r="A59" s="346"/>
      <c r="B59" s="349" t="s">
        <v>7</v>
      </c>
      <c r="C59" s="350"/>
      <c r="D59" s="7" t="s">
        <v>48</v>
      </c>
      <c r="E59" s="32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s="19" customFormat="1" ht="25.9" customHeight="1" x14ac:dyDescent="0.2">
      <c r="A60" s="346"/>
      <c r="B60" s="349" t="s">
        <v>8</v>
      </c>
      <c r="C60" s="350"/>
      <c r="D60" s="7" t="s">
        <v>48</v>
      </c>
      <c r="E60" s="32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1:17" s="19" customFormat="1" ht="25.9" customHeight="1" x14ac:dyDescent="0.2">
      <c r="A61" s="346"/>
      <c r="B61" s="349" t="s">
        <v>42</v>
      </c>
      <c r="C61" s="350"/>
      <c r="D61" s="7" t="s">
        <v>100</v>
      </c>
      <c r="E61" s="32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1:17" s="19" customFormat="1" ht="25.9" customHeight="1" x14ac:dyDescent="0.2">
      <c r="A62" s="346"/>
      <c r="B62" s="28" t="s">
        <v>72</v>
      </c>
      <c r="C62" s="29"/>
      <c r="D62" s="7" t="s">
        <v>48</v>
      </c>
      <c r="E62" s="32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 spans="1:17" s="19" customFormat="1" ht="25.9" customHeight="1" x14ac:dyDescent="0.2">
      <c r="A63" s="346"/>
      <c r="B63" s="28" t="s">
        <v>101</v>
      </c>
      <c r="C63" s="29"/>
      <c r="D63" s="32" t="s">
        <v>99</v>
      </c>
      <c r="E63" s="32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1:17" s="21" customFormat="1" ht="25.9" customHeight="1" x14ac:dyDescent="0.2">
      <c r="A64" s="341" t="s">
        <v>9</v>
      </c>
      <c r="B64" s="38" t="s">
        <v>110</v>
      </c>
      <c r="C64" s="39"/>
      <c r="D64" s="40"/>
      <c r="E64" s="40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</row>
    <row r="65" spans="1:17" s="21" customFormat="1" ht="25.9" customHeight="1" x14ac:dyDescent="0.2">
      <c r="A65" s="343"/>
      <c r="B65" s="38" t="s">
        <v>111</v>
      </c>
      <c r="C65" s="39"/>
      <c r="D65" s="40"/>
      <c r="E65" s="40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</row>
  </sheetData>
  <mergeCells count="44">
    <mergeCell ref="A2:A7"/>
    <mergeCell ref="B2:C2"/>
    <mergeCell ref="B3:C3"/>
    <mergeCell ref="B4:C4"/>
    <mergeCell ref="B5:C5"/>
    <mergeCell ref="B6:C6"/>
    <mergeCell ref="B7:C7"/>
    <mergeCell ref="B12:C12"/>
    <mergeCell ref="B13:C13"/>
    <mergeCell ref="B14:C14"/>
    <mergeCell ref="B15:C15"/>
    <mergeCell ref="B16:C16"/>
    <mergeCell ref="B50:C50"/>
    <mergeCell ref="B53:C53"/>
    <mergeCell ref="B54:C54"/>
    <mergeCell ref="B55:C55"/>
    <mergeCell ref="B17:C17"/>
    <mergeCell ref="B18:C18"/>
    <mergeCell ref="A19:B22"/>
    <mergeCell ref="B23:B29"/>
    <mergeCell ref="B30:B33"/>
    <mergeCell ref="B34:B38"/>
    <mergeCell ref="B39:B41"/>
    <mergeCell ref="A8:A18"/>
    <mergeCell ref="B8:C8"/>
    <mergeCell ref="B9:C9"/>
    <mergeCell ref="B10:C10"/>
    <mergeCell ref="B11:C11"/>
    <mergeCell ref="A64:A65"/>
    <mergeCell ref="B42:B44"/>
    <mergeCell ref="A23:A44"/>
    <mergeCell ref="A56:A63"/>
    <mergeCell ref="B56:C56"/>
    <mergeCell ref="B57:C57"/>
    <mergeCell ref="B58:C58"/>
    <mergeCell ref="B59:C59"/>
    <mergeCell ref="B60:C60"/>
    <mergeCell ref="B61:C61"/>
    <mergeCell ref="A45:A55"/>
    <mergeCell ref="B45:C45"/>
    <mergeCell ref="B46:C46"/>
    <mergeCell ref="B47:C47"/>
    <mergeCell ref="B48:C48"/>
    <mergeCell ref="B49:C4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8F35-88AF-469E-B7AD-CA699C7D0E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242D-DD6E-4EA7-B1DD-5E6A3C44EF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13</vt:i4>
      </vt:variant>
    </vt:vector>
  </HeadingPairs>
  <TitlesOfParts>
    <vt:vector size="13" baseType="lpstr">
      <vt:lpstr>email</vt:lpstr>
      <vt:lpstr>Tartalom</vt:lpstr>
      <vt:lpstr>Nyitóoldal</vt:lpstr>
      <vt:lpstr>Ország</vt:lpstr>
      <vt:lpstr>Alvállalkozó</vt:lpstr>
      <vt:lpstr>Kvalitatív</vt:lpstr>
      <vt:lpstr>Kvantitatív</vt:lpstr>
      <vt:lpstr>Másodelemzés</vt:lpstr>
      <vt:lpstr>Insightment_Szemiotika</vt:lpstr>
      <vt:lpstr>Tréning</vt:lpstr>
      <vt:lpstr>DESP_COCR_SUCL</vt:lpstr>
      <vt:lpstr>TGI</vt:lpstr>
      <vt:lpstr>Szoftver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László Hegedüs (external)</dc:creator>
  <cp:lastModifiedBy>Gyula Kovacs</cp:lastModifiedBy>
  <dcterms:created xsi:type="dcterms:W3CDTF">2025-08-19T06:59:02Z</dcterms:created>
  <dcterms:modified xsi:type="dcterms:W3CDTF">2026-05-05T13:15:11Z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2025-08-19T08:48:21Z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ddba6e5c-0284-4728-9ffa-e10f0c7e4924</vt:lpwstr>
  </property>
  <property fmtid="{D5CDD505-2E9C-101B-9397-08002B2CF9AE}" pid="8" name="MSIP_Label_3741da7a-79c1-417c-b408-16c0bfe99fca_ContentBits">
    <vt:lpwstr>0</vt:lpwstr>
  </property>
  <property fmtid="{D5CDD505-2E9C-101B-9397-08002B2CF9AE}" pid="9" name="MSIP_Label_3741da7a-79c1-417c-b408-16c0bfe99fca_Tag">
    <vt:lpwstr>10, 3, 0, 1</vt:lpwstr>
  </property>
</Properties>
</file>